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enilsonjr/settlement-tracker/"/>
    </mc:Choice>
  </mc:AlternateContent>
  <xr:revisionPtr revIDLastSave="0" documentId="8_{E5B829C5-4D59-A04C-8753-916334A68720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Settlements" sheetId="1" r:id="rId1"/>
    <sheet name="📖 How To 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F20" i="1"/>
  <c r="G20" i="1" s="1"/>
  <c r="I19" i="1"/>
  <c r="H19" i="1"/>
  <c r="F19" i="1"/>
  <c r="G19" i="1" s="1"/>
  <c r="I18" i="1"/>
  <c r="H18" i="1"/>
  <c r="F18" i="1"/>
  <c r="G18" i="1" s="1"/>
  <c r="I17" i="1"/>
  <c r="H17" i="1"/>
  <c r="F17" i="1"/>
  <c r="G17" i="1" s="1"/>
  <c r="I15" i="1"/>
  <c r="H15" i="1"/>
  <c r="F15" i="1"/>
  <c r="G15" i="1" s="1"/>
  <c r="I14" i="1"/>
  <c r="H14" i="1"/>
  <c r="F14" i="1"/>
  <c r="G14" i="1" s="1"/>
  <c r="I13" i="1"/>
  <c r="H13" i="1"/>
  <c r="G13" i="1"/>
  <c r="F13" i="1"/>
  <c r="I12" i="1"/>
  <c r="H12" i="1"/>
  <c r="F12" i="1"/>
  <c r="G12" i="1" s="1"/>
  <c r="I11" i="1"/>
  <c r="H11" i="1"/>
  <c r="F11" i="1"/>
  <c r="G11" i="1" s="1"/>
  <c r="I10" i="1"/>
  <c r="H10" i="1"/>
  <c r="F10" i="1"/>
  <c r="G10" i="1" s="1"/>
  <c r="I9" i="1"/>
  <c r="H9" i="1"/>
  <c r="F9" i="1"/>
  <c r="G9" i="1" s="1"/>
  <c r="I8" i="1"/>
  <c r="H8" i="1"/>
  <c r="F8" i="1"/>
  <c r="G8" i="1" s="1"/>
  <c r="I7" i="1"/>
  <c r="H7" i="1"/>
  <c r="F7" i="1"/>
  <c r="G7" i="1" s="1"/>
  <c r="I6" i="1"/>
  <c r="H6" i="1"/>
  <c r="F6" i="1"/>
  <c r="G6" i="1" s="1"/>
  <c r="I5" i="1"/>
  <c r="H5" i="1"/>
  <c r="F5" i="1"/>
  <c r="G5" i="1" s="1"/>
  <c r="I4" i="1"/>
  <c r="H4" i="1"/>
  <c r="F4" i="1"/>
  <c r="G4" i="1" s="1"/>
</calcChain>
</file>

<file path=xl/sharedStrings.xml><?xml version="1.0" encoding="utf-8"?>
<sst xmlns="http://schemas.openxmlformats.org/spreadsheetml/2006/main" count="45" uniqueCount="44">
  <si>
    <t>💳  RememberMe — Payment Tracker Template</t>
  </si>
  <si>
    <t>🔵 Blue cells = YOU fill in   |   ⚫ Grey cells = AUTO-CALCULATED (do not edit)   |   🟢 Green = Final payment</t>
  </si>
  <si>
    <t>Creditor Name</t>
  </si>
  <si>
    <t>Payment #</t>
  </si>
  <si>
    <t>Payment Amount ($)</t>
  </si>
  <si>
    <t>Due Date</t>
  </si>
  <si>
    <t>Balance Before ($)</t>
  </si>
  <si>
    <t>Balance After ($)</t>
  </si>
  <si>
    <t>Status</t>
  </si>
  <si>
    <t>Notify 2 Weeks Before</t>
  </si>
  <si>
    <t>Notify 1 Week Before</t>
  </si>
  <si>
    <t>Notes</t>
  </si>
  <si>
    <t>Example Bank</t>
  </si>
  <si>
    <t>← Final payment! 🎉</t>
  </si>
  <si>
    <t>Example Loan</t>
  </si>
  <si>
    <t>📖  HOW TO USE RememberMe</t>
  </si>
  <si>
    <t>STEP 1 — Fill in your settlements (blue cells only)</t>
  </si>
  <si>
    <t xml:space="preserve">  Each row = one payment. Fill the ENTIRE schedule upfront — one row per payment.</t>
  </si>
  <si>
    <t xml:space="preserve">  Column A  →  Creditor Name (only on the first row of each creditor)</t>
  </si>
  <si>
    <t xml:space="preserve">  Column B  →  Payment number (1, 2, 3...)</t>
  </si>
  <si>
    <t xml:space="preserve">  Column C  →  Payment amount in dollars</t>
  </si>
  <si>
    <t xml:space="preserve">  Column D  →  Due date (exact date it hits your bank)</t>
  </si>
  <si>
    <t xml:space="preserve">  Column E  →  Balance Before: for payment #1 = full amount owed</t>
  </si>
  <si>
    <t xml:space="preserve">             →  For payment #2 onward = previous Balance After value</t>
  </si>
  <si>
    <t>STEP 2 — Never edit the grey columns</t>
  </si>
  <si>
    <t xml:space="preserve">  Column F  →  Balance After (auto: Balance Before - Payment Amount)</t>
  </si>
  <si>
    <t xml:space="preserve">  Column G  →  Status (auto: Upcoming / Overdue / Paid Off)</t>
  </si>
  <si>
    <t xml:space="preserve">  Column H  →  Notify 2 Weeks Before (auto: Due Date - 14 days)</t>
  </si>
  <si>
    <t xml:space="preserve">  Column I  →  Notify 1 Week Before  (auto: Due Date - 7 days)</t>
  </si>
  <si>
    <t>STEP 3 — Rename and place the file</t>
  </si>
  <si>
    <t xml:space="preserve">  Rename this file to RememberMe.xlsx and place it in your project folder (same folder as main.py)</t>
  </si>
  <si>
    <t>STEP 4 — Run the app</t>
  </si>
  <si>
    <t xml:space="preserve">  In your terminal, navigate to the project folder and run:</t>
  </si>
  <si>
    <t xml:space="preserve">      python3 main.py</t>
  </si>
  <si>
    <t xml:space="preserve">  Your upcoming payments will appear in Google Calendar automatically.</t>
  </si>
  <si>
    <t>ADDING A NEW CREDITOR LATER</t>
  </si>
  <si>
    <t xml:space="preserve">  Add a blank separator row after your last creditor, then fill in all rows for the new one.</t>
  </si>
  <si>
    <t xml:space="preserve">  Run python3 main.py again — it picks up new entries automatically.</t>
  </si>
  <si>
    <t>REMOVING A CREDITOR</t>
  </si>
  <si>
    <t xml:space="preserve">  Delete all rows for that creditor. Python ignores it on the next run.</t>
  </si>
  <si>
    <t>COLOR GUIDE</t>
  </si>
  <si>
    <t xml:space="preserve">  🔵 Blue text on light blue  →  You fill this in once</t>
  </si>
  <si>
    <t xml:space="preserve">  ⚫ Black text on grey        →  Auto-calculated — never edit these</t>
  </si>
  <si>
    <t xml:space="preserve">  🟢 Green text                →  Final payment / fully paid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</si>
</sst>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6" formatCode="mmm\ dd\,\ yyyy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444444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999999"/>
      <name val="Arial"/>
      <family val="2"/>
    </font>
    <font>
      <b/>
      <sz val="10"/>
      <color rgb="FF006400"/>
      <name val="Arial"/>
      <family val="2"/>
    </font>
    <font>
      <i/>
      <sz val="9"/>
      <color rgb="FF006400"/>
      <name val="Arial"/>
      <family val="2"/>
    </font>
    <font>
      <b/>
      <sz val="11"/>
      <color rgb="FFFFFFFF"/>
      <name val="Arial"/>
      <family val="2"/>
    </font>
    <font>
      <b/>
      <sz val="10"/>
      <color rgb="FF00FF99"/>
      <name val="Arial"/>
      <family val="2"/>
    </font>
    <font>
      <sz val="10"/>
      <color rgb="FF0064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F0F0F0"/>
      </patternFill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164" fontId="8" fillId="6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indent="1"/>
    </xf>
    <xf numFmtId="0" fontId="0" fillId="7" borderId="0" xfId="0" applyFill="1"/>
    <xf numFmtId="0" fontId="1" fillId="2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11" fillId="9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12" fillId="8" borderId="0" xfId="0" applyFont="1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ySplit="3" topLeftCell="A4" activePane="bottomLeft" state="frozen"/>
      <selection pane="bottomLeft" sqref="A1:J1"/>
    </sheetView>
  </sheetViews>
  <sheetFormatPr baseColWidth="10" defaultColWidth="8.83203125" defaultRowHeight="15" x14ac:dyDescent="0.2"/>
  <cols>
    <col min="1" max="1" width="20" customWidth="1"/>
    <col min="2" max="2" width="11" customWidth="1"/>
    <col min="3" max="3" width="20" customWidth="1"/>
    <col min="4" max="4" width="15" customWidth="1"/>
    <col min="5" max="6" width="20" customWidth="1"/>
    <col min="7" max="7" width="15" customWidth="1"/>
    <col min="8" max="9" width="22" customWidth="1"/>
    <col min="10" max="10" width="24" customWidth="1"/>
  </cols>
  <sheetData>
    <row r="1" spans="1:10" ht="32" customHeight="1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6" customHeight="1" x14ac:dyDescent="0.2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36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0" customHeight="1" x14ac:dyDescent="0.2">
      <c r="A4" s="2" t="s">
        <v>12</v>
      </c>
      <c r="B4" s="3">
        <v>1</v>
      </c>
      <c r="C4" s="4">
        <v>75</v>
      </c>
      <c r="D4" s="5">
        <v>46113</v>
      </c>
      <c r="E4" s="4">
        <v>900</v>
      </c>
      <c r="F4" s="6">
        <f t="shared" ref="F4:F15" si="0">E4-C4</f>
        <v>825</v>
      </c>
      <c r="G4" s="7" t="str">
        <f t="shared" ref="G4:G15" ca="1" si="1">IF(F4=0,"✅ PAID OFF",IF(TODAY()&gt;D4,"⚠️ OVERDUE","🔔 Upcoming"))</f>
        <v>⚠️ OVERDUE</v>
      </c>
      <c r="H4" s="8">
        <f t="shared" ref="H4:H15" si="2">D4-14</f>
        <v>46099</v>
      </c>
      <c r="I4" s="8">
        <f t="shared" ref="I4:I15" si="3">D4-7</f>
        <v>46106</v>
      </c>
      <c r="J4" s="9"/>
    </row>
    <row r="5" spans="1:10" ht="20" customHeight="1" x14ac:dyDescent="0.2">
      <c r="A5" s="10"/>
      <c r="B5" s="3">
        <v>2</v>
      </c>
      <c r="C5" s="4">
        <v>75</v>
      </c>
      <c r="D5" s="5">
        <v>46143</v>
      </c>
      <c r="E5" s="4">
        <v>825</v>
      </c>
      <c r="F5" s="6">
        <f t="shared" si="0"/>
        <v>750</v>
      </c>
      <c r="G5" s="7" t="str">
        <f t="shared" ca="1" si="1"/>
        <v>🔔 Upcoming</v>
      </c>
      <c r="H5" s="8">
        <f t="shared" si="2"/>
        <v>46129</v>
      </c>
      <c r="I5" s="8">
        <f t="shared" si="3"/>
        <v>46136</v>
      </c>
      <c r="J5" s="9"/>
    </row>
    <row r="6" spans="1:10" ht="20" customHeight="1" x14ac:dyDescent="0.2">
      <c r="A6" s="10"/>
      <c r="B6" s="3">
        <v>3</v>
      </c>
      <c r="C6" s="4">
        <v>75</v>
      </c>
      <c r="D6" s="5">
        <v>46174</v>
      </c>
      <c r="E6" s="4">
        <v>750</v>
      </c>
      <c r="F6" s="6">
        <f t="shared" si="0"/>
        <v>675</v>
      </c>
      <c r="G6" s="7" t="str">
        <f t="shared" ca="1" si="1"/>
        <v>🔔 Upcoming</v>
      </c>
      <c r="H6" s="8">
        <f t="shared" si="2"/>
        <v>46160</v>
      </c>
      <c r="I6" s="8">
        <f t="shared" si="3"/>
        <v>46167</v>
      </c>
      <c r="J6" s="9"/>
    </row>
    <row r="7" spans="1:10" ht="20" customHeight="1" x14ac:dyDescent="0.2">
      <c r="A7" s="10"/>
      <c r="B7" s="3">
        <v>4</v>
      </c>
      <c r="C7" s="4">
        <v>75</v>
      </c>
      <c r="D7" s="5">
        <v>46204</v>
      </c>
      <c r="E7" s="4">
        <v>675</v>
      </c>
      <c r="F7" s="6">
        <f t="shared" si="0"/>
        <v>600</v>
      </c>
      <c r="G7" s="7" t="str">
        <f t="shared" ca="1" si="1"/>
        <v>🔔 Upcoming</v>
      </c>
      <c r="H7" s="8">
        <f t="shared" si="2"/>
        <v>46190</v>
      </c>
      <c r="I7" s="8">
        <f t="shared" si="3"/>
        <v>46197</v>
      </c>
      <c r="J7" s="9"/>
    </row>
    <row r="8" spans="1:10" ht="20" customHeight="1" x14ac:dyDescent="0.2">
      <c r="A8" s="10"/>
      <c r="B8" s="3">
        <v>5</v>
      </c>
      <c r="C8" s="4">
        <v>75</v>
      </c>
      <c r="D8" s="5">
        <v>46235</v>
      </c>
      <c r="E8" s="4">
        <v>600</v>
      </c>
      <c r="F8" s="6">
        <f t="shared" si="0"/>
        <v>525</v>
      </c>
      <c r="G8" s="7" t="str">
        <f t="shared" ca="1" si="1"/>
        <v>🔔 Upcoming</v>
      </c>
      <c r="H8" s="8">
        <f t="shared" si="2"/>
        <v>46221</v>
      </c>
      <c r="I8" s="8">
        <f t="shared" si="3"/>
        <v>46228</v>
      </c>
      <c r="J8" s="9"/>
    </row>
    <row r="9" spans="1:10" ht="20" customHeight="1" x14ac:dyDescent="0.2">
      <c r="A9" s="10"/>
      <c r="B9" s="3">
        <v>6</v>
      </c>
      <c r="C9" s="4">
        <v>75</v>
      </c>
      <c r="D9" s="5">
        <v>46266</v>
      </c>
      <c r="E9" s="4">
        <v>525</v>
      </c>
      <c r="F9" s="6">
        <f t="shared" si="0"/>
        <v>450</v>
      </c>
      <c r="G9" s="7" t="str">
        <f t="shared" ca="1" si="1"/>
        <v>🔔 Upcoming</v>
      </c>
      <c r="H9" s="8">
        <f t="shared" si="2"/>
        <v>46252</v>
      </c>
      <c r="I9" s="8">
        <f t="shared" si="3"/>
        <v>46259</v>
      </c>
      <c r="J9" s="9"/>
    </row>
    <row r="10" spans="1:10" ht="20" customHeight="1" x14ac:dyDescent="0.2">
      <c r="A10" s="10"/>
      <c r="B10" s="3">
        <v>7</v>
      </c>
      <c r="C10" s="4">
        <v>75</v>
      </c>
      <c r="D10" s="5">
        <v>46296</v>
      </c>
      <c r="E10" s="4">
        <v>450</v>
      </c>
      <c r="F10" s="6">
        <f t="shared" si="0"/>
        <v>375</v>
      </c>
      <c r="G10" s="7" t="str">
        <f t="shared" ca="1" si="1"/>
        <v>🔔 Upcoming</v>
      </c>
      <c r="H10" s="8">
        <f t="shared" si="2"/>
        <v>46282</v>
      </c>
      <c r="I10" s="8">
        <f t="shared" si="3"/>
        <v>46289</v>
      </c>
      <c r="J10" s="9"/>
    </row>
    <row r="11" spans="1:10" ht="20" customHeight="1" x14ac:dyDescent="0.2">
      <c r="A11" s="10"/>
      <c r="B11" s="3">
        <v>8</v>
      </c>
      <c r="C11" s="4">
        <v>75</v>
      </c>
      <c r="D11" s="5">
        <v>46327</v>
      </c>
      <c r="E11" s="4">
        <v>375</v>
      </c>
      <c r="F11" s="6">
        <f t="shared" si="0"/>
        <v>300</v>
      </c>
      <c r="G11" s="7" t="str">
        <f t="shared" ca="1" si="1"/>
        <v>🔔 Upcoming</v>
      </c>
      <c r="H11" s="8">
        <f t="shared" si="2"/>
        <v>46313</v>
      </c>
      <c r="I11" s="8">
        <f t="shared" si="3"/>
        <v>46320</v>
      </c>
      <c r="J11" s="9"/>
    </row>
    <row r="12" spans="1:10" ht="20" customHeight="1" x14ac:dyDescent="0.2">
      <c r="A12" s="10"/>
      <c r="B12" s="3">
        <v>9</v>
      </c>
      <c r="C12" s="4">
        <v>75</v>
      </c>
      <c r="D12" s="5">
        <v>46357</v>
      </c>
      <c r="E12" s="4">
        <v>300</v>
      </c>
      <c r="F12" s="6">
        <f t="shared" si="0"/>
        <v>225</v>
      </c>
      <c r="G12" s="7" t="str">
        <f t="shared" ca="1" si="1"/>
        <v>🔔 Upcoming</v>
      </c>
      <c r="H12" s="8">
        <f t="shared" si="2"/>
        <v>46343</v>
      </c>
      <c r="I12" s="8">
        <f t="shared" si="3"/>
        <v>46350</v>
      </c>
      <c r="J12" s="9"/>
    </row>
    <row r="13" spans="1:10" ht="20" customHeight="1" x14ac:dyDescent="0.2">
      <c r="A13" s="10"/>
      <c r="B13" s="3">
        <v>10</v>
      </c>
      <c r="C13" s="4">
        <v>75</v>
      </c>
      <c r="D13" s="5">
        <v>46388</v>
      </c>
      <c r="E13" s="4">
        <v>225</v>
      </c>
      <c r="F13" s="6">
        <f t="shared" si="0"/>
        <v>150</v>
      </c>
      <c r="G13" s="7" t="str">
        <f t="shared" ca="1" si="1"/>
        <v>🔔 Upcoming</v>
      </c>
      <c r="H13" s="8">
        <f t="shared" si="2"/>
        <v>46374</v>
      </c>
      <c r="I13" s="8">
        <f t="shared" si="3"/>
        <v>46381</v>
      </c>
      <c r="J13" s="9"/>
    </row>
    <row r="14" spans="1:10" ht="20" customHeight="1" x14ac:dyDescent="0.2">
      <c r="A14" s="10"/>
      <c r="B14" s="3">
        <v>11</v>
      </c>
      <c r="C14" s="4">
        <v>75</v>
      </c>
      <c r="D14" s="5">
        <v>46419</v>
      </c>
      <c r="E14" s="4">
        <v>150</v>
      </c>
      <c r="F14" s="6">
        <f t="shared" si="0"/>
        <v>75</v>
      </c>
      <c r="G14" s="7" t="str">
        <f t="shared" ca="1" si="1"/>
        <v>🔔 Upcoming</v>
      </c>
      <c r="H14" s="8">
        <f t="shared" si="2"/>
        <v>46405</v>
      </c>
      <c r="I14" s="8">
        <f t="shared" si="3"/>
        <v>46412</v>
      </c>
      <c r="J14" s="9"/>
    </row>
    <row r="15" spans="1:10" ht="20" customHeight="1" x14ac:dyDescent="0.2">
      <c r="A15" s="10"/>
      <c r="B15" s="3">
        <v>12</v>
      </c>
      <c r="C15" s="4">
        <v>75</v>
      </c>
      <c r="D15" s="5">
        <v>46447</v>
      </c>
      <c r="E15" s="4">
        <v>75</v>
      </c>
      <c r="F15" s="11">
        <f t="shared" si="0"/>
        <v>0</v>
      </c>
      <c r="G15" s="7" t="str">
        <f t="shared" ca="1" si="1"/>
        <v>✅ PAID OFF</v>
      </c>
      <c r="H15" s="8">
        <f t="shared" si="2"/>
        <v>46433</v>
      </c>
      <c r="I15" s="8">
        <f t="shared" si="3"/>
        <v>46440</v>
      </c>
      <c r="J15" s="12" t="s">
        <v>13</v>
      </c>
    </row>
    <row r="16" spans="1:10" ht="8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ht="20" customHeight="1" x14ac:dyDescent="0.2">
      <c r="A17" s="2" t="s">
        <v>14</v>
      </c>
      <c r="B17" s="3">
        <v>1</v>
      </c>
      <c r="C17" s="4">
        <v>50</v>
      </c>
      <c r="D17" s="5">
        <v>46127</v>
      </c>
      <c r="E17" s="4">
        <v>200</v>
      </c>
      <c r="F17" s="6">
        <f>E17-C17</f>
        <v>150</v>
      </c>
      <c r="G17" s="7" t="str">
        <f ca="1">IF(F17=0,"✅ PAID OFF",IF(TODAY()&gt;D17,"⚠️ OVERDUE","🔔 Upcoming"))</f>
        <v>🔔 Upcoming</v>
      </c>
      <c r="H17" s="8">
        <f>D17-14</f>
        <v>46113</v>
      </c>
      <c r="I17" s="8">
        <f>D17-7</f>
        <v>46120</v>
      </c>
      <c r="J17" s="9"/>
    </row>
    <row r="18" spans="1:10" ht="20" customHeight="1" x14ac:dyDescent="0.2">
      <c r="A18" s="10"/>
      <c r="B18" s="3">
        <v>2</v>
      </c>
      <c r="C18" s="4">
        <v>50</v>
      </c>
      <c r="D18" s="5">
        <v>46157</v>
      </c>
      <c r="E18" s="4">
        <v>150</v>
      </c>
      <c r="F18" s="6">
        <f>E18-C18</f>
        <v>100</v>
      </c>
      <c r="G18" s="7" t="str">
        <f ca="1">IF(F18=0,"✅ PAID OFF",IF(TODAY()&gt;D18,"⚠️ OVERDUE","🔔 Upcoming"))</f>
        <v>🔔 Upcoming</v>
      </c>
      <c r="H18" s="8">
        <f>D18-14</f>
        <v>46143</v>
      </c>
      <c r="I18" s="8">
        <f>D18-7</f>
        <v>46150</v>
      </c>
      <c r="J18" s="9"/>
    </row>
    <row r="19" spans="1:10" ht="20" customHeight="1" x14ac:dyDescent="0.2">
      <c r="A19" s="10"/>
      <c r="B19" s="3">
        <v>3</v>
      </c>
      <c r="C19" s="4">
        <v>50</v>
      </c>
      <c r="D19" s="5">
        <v>46188</v>
      </c>
      <c r="E19" s="4">
        <v>100</v>
      </c>
      <c r="F19" s="6">
        <f>E19-C19</f>
        <v>50</v>
      </c>
      <c r="G19" s="7" t="str">
        <f ca="1">IF(F19=0,"✅ PAID OFF",IF(TODAY()&gt;D19,"⚠️ OVERDUE","🔔 Upcoming"))</f>
        <v>🔔 Upcoming</v>
      </c>
      <c r="H19" s="8">
        <f>D19-14</f>
        <v>46174</v>
      </c>
      <c r="I19" s="8">
        <f>D19-7</f>
        <v>46181</v>
      </c>
      <c r="J19" s="9"/>
    </row>
    <row r="20" spans="1:10" ht="20" customHeight="1" x14ac:dyDescent="0.2">
      <c r="A20" s="10"/>
      <c r="B20" s="3">
        <v>4</v>
      </c>
      <c r="C20" s="4">
        <v>50</v>
      </c>
      <c r="D20" s="5">
        <v>46218</v>
      </c>
      <c r="E20" s="4">
        <v>50</v>
      </c>
      <c r="F20" s="11">
        <f>E20-C20</f>
        <v>0</v>
      </c>
      <c r="G20" s="7" t="str">
        <f ca="1">IF(F20=0,"✅ PAID OFF",IF(TODAY()&gt;D20,"⚠️ OVERDUE","🔔 Upcoming"))</f>
        <v>✅ PAID OFF</v>
      </c>
      <c r="H20" s="8">
        <f>D20-14</f>
        <v>46204</v>
      </c>
      <c r="I20" s="8">
        <f>D20-7</f>
        <v>46211</v>
      </c>
      <c r="J20" s="12" t="s">
        <v>13</v>
      </c>
    </row>
    <row r="21" spans="1:10" ht="8" customHeight="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6"/>
  <sheetViews>
    <sheetView workbookViewId="0"/>
  </sheetViews>
  <sheetFormatPr baseColWidth="10" defaultColWidth="8.83203125" defaultRowHeight="15" x14ac:dyDescent="0.2"/>
  <cols>
    <col min="1" max="1" width="85" customWidth="1"/>
  </cols>
  <sheetData>
    <row r="1" spans="1:1" ht="30" customHeight="1" x14ac:dyDescent="0.2">
      <c r="A1" s="14" t="s">
        <v>15</v>
      </c>
    </row>
    <row r="2" spans="1:1" ht="8" customHeight="1" x14ac:dyDescent="0.2">
      <c r="A2" s="15"/>
    </row>
    <row r="3" spans="1:1" ht="22" customHeight="1" x14ac:dyDescent="0.2">
      <c r="A3" s="16" t="s">
        <v>16</v>
      </c>
    </row>
    <row r="4" spans="1:1" ht="20" customHeight="1" x14ac:dyDescent="0.2">
      <c r="A4" s="17" t="s">
        <v>17</v>
      </c>
    </row>
    <row r="5" spans="1:1" ht="18" customHeight="1" x14ac:dyDescent="0.2">
      <c r="A5" s="17" t="s">
        <v>18</v>
      </c>
    </row>
    <row r="6" spans="1:1" ht="18" customHeight="1" x14ac:dyDescent="0.2">
      <c r="A6" s="17" t="s">
        <v>19</v>
      </c>
    </row>
    <row r="7" spans="1:1" ht="18" customHeight="1" x14ac:dyDescent="0.2">
      <c r="A7" s="17" t="s">
        <v>20</v>
      </c>
    </row>
    <row r="8" spans="1:1" ht="18" customHeight="1" x14ac:dyDescent="0.2">
      <c r="A8" s="17" t="s">
        <v>21</v>
      </c>
    </row>
    <row r="9" spans="1:1" ht="18" customHeight="1" x14ac:dyDescent="0.2">
      <c r="A9" s="17" t="s">
        <v>22</v>
      </c>
    </row>
    <row r="10" spans="1:1" ht="18" customHeight="1" x14ac:dyDescent="0.2">
      <c r="A10" s="17" t="s">
        <v>23</v>
      </c>
    </row>
    <row r="11" spans="1:1" ht="8" customHeight="1" x14ac:dyDescent="0.2">
      <c r="A11" s="15"/>
    </row>
    <row r="12" spans="1:1" ht="22" customHeight="1" x14ac:dyDescent="0.2">
      <c r="A12" s="16" t="s">
        <v>24</v>
      </c>
    </row>
    <row r="13" spans="1:1" ht="18" customHeight="1" x14ac:dyDescent="0.2">
      <c r="A13" s="18" t="s">
        <v>25</v>
      </c>
    </row>
    <row r="14" spans="1:1" ht="18" customHeight="1" x14ac:dyDescent="0.2">
      <c r="A14" s="18" t="s">
        <v>26</v>
      </c>
    </row>
    <row r="15" spans="1:1" ht="18" customHeight="1" x14ac:dyDescent="0.2">
      <c r="A15" s="18" t="s">
        <v>27</v>
      </c>
    </row>
    <row r="16" spans="1:1" ht="18" customHeight="1" x14ac:dyDescent="0.2">
      <c r="A16" s="18" t="s">
        <v>28</v>
      </c>
    </row>
    <row r="17" spans="1:1" ht="8" customHeight="1" x14ac:dyDescent="0.2">
      <c r="A17" s="15"/>
    </row>
    <row r="18" spans="1:1" ht="22" customHeight="1" x14ac:dyDescent="0.2">
      <c r="A18" s="16" t="s">
        <v>29</v>
      </c>
    </row>
    <row r="19" spans="1:1" ht="18" customHeight="1" x14ac:dyDescent="0.2">
      <c r="A19" s="17" t="s">
        <v>30</v>
      </c>
    </row>
    <row r="20" spans="1:1" ht="8" customHeight="1" x14ac:dyDescent="0.2">
      <c r="A20" s="15"/>
    </row>
    <row r="21" spans="1:1" ht="22" customHeight="1" x14ac:dyDescent="0.2">
      <c r="A21" s="16" t="s">
        <v>31</v>
      </c>
    </row>
    <row r="22" spans="1:1" ht="18" customHeight="1" x14ac:dyDescent="0.2">
      <c r="A22" s="17" t="s">
        <v>32</v>
      </c>
    </row>
    <row r="23" spans="1:1" ht="22" customHeight="1" x14ac:dyDescent="0.2">
      <c r="A23" s="19" t="s">
        <v>33</v>
      </c>
    </row>
    <row r="24" spans="1:1" ht="18" customHeight="1" x14ac:dyDescent="0.2">
      <c r="A24" s="17" t="s">
        <v>34</v>
      </c>
    </row>
    <row r="25" spans="1:1" ht="8" customHeight="1" x14ac:dyDescent="0.2">
      <c r="A25" s="15"/>
    </row>
    <row r="26" spans="1:1" ht="22" customHeight="1" x14ac:dyDescent="0.2">
      <c r="A26" s="16" t="s">
        <v>35</v>
      </c>
    </row>
    <row r="27" spans="1:1" ht="18" customHeight="1" x14ac:dyDescent="0.2">
      <c r="A27" s="17" t="s">
        <v>36</v>
      </c>
    </row>
    <row r="28" spans="1:1" ht="18" customHeight="1" x14ac:dyDescent="0.2">
      <c r="A28" s="17" t="s">
        <v>37</v>
      </c>
    </row>
    <row r="29" spans="1:1" ht="8" customHeight="1" x14ac:dyDescent="0.2">
      <c r="A29" s="15"/>
    </row>
    <row r="30" spans="1:1" ht="22" customHeight="1" x14ac:dyDescent="0.2">
      <c r="A30" s="16" t="s">
        <v>38</v>
      </c>
    </row>
    <row r="31" spans="1:1" ht="18" customHeight="1" x14ac:dyDescent="0.2">
      <c r="A31" s="17" t="s">
        <v>39</v>
      </c>
    </row>
    <row r="32" spans="1:1" ht="8" customHeight="1" x14ac:dyDescent="0.2">
      <c r="A32" s="15"/>
    </row>
    <row r="33" spans="1:1" ht="22" customHeight="1" x14ac:dyDescent="0.2">
      <c r="A33" s="16" t="s">
        <v>40</v>
      </c>
    </row>
    <row r="34" spans="1:1" ht="18" customHeight="1" x14ac:dyDescent="0.2">
      <c r="A34" s="20" t="s">
        <v>41</v>
      </c>
    </row>
    <row r="35" spans="1:1" ht="18" customHeight="1" x14ac:dyDescent="0.2">
      <c r="A35" s="18" t="s">
        <v>42</v>
      </c>
    </row>
    <row r="36" spans="1:1" ht="18" customHeight="1" x14ac:dyDescent="0.2">
      <c r="A36" s="2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Settlements</vt:lpstr>
      <vt:lpstr>📖 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Renilson Rodrigues Junior</cp:lastModifiedBy>
  <dcterms:created xsi:type="dcterms:W3CDTF">2026-04-05T07:22:17Z</dcterms:created>
  <dcterms:modified xsi:type="dcterms:W3CDTF">2026-04-05T07:23:52Z</dcterms:modified>
</cp:coreProperties>
</file>