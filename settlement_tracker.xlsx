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enilsonjr/settlement-tracker/"/>
    </mc:Choice>
  </mc:AlternateContent>
  <xr:revisionPtr revIDLastSave="0" documentId="13_ncr:1_{E0DD5C29-366B-4047-A865-EA682CB4B19B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ettlement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" l="1"/>
  <c r="G73" i="1" s="1"/>
  <c r="H73" i="1"/>
  <c r="I73" i="1"/>
  <c r="F74" i="1"/>
  <c r="G74" i="1" s="1"/>
  <c r="H74" i="1"/>
  <c r="I74" i="1"/>
  <c r="I76" i="1"/>
  <c r="H76" i="1"/>
  <c r="F76" i="1"/>
  <c r="G76" i="1" s="1"/>
  <c r="I75" i="1"/>
  <c r="H75" i="1"/>
  <c r="F75" i="1"/>
  <c r="G75" i="1" s="1"/>
  <c r="I72" i="1"/>
  <c r="H72" i="1"/>
  <c r="F72" i="1"/>
  <c r="G72" i="1" s="1"/>
  <c r="I71" i="1"/>
  <c r="H71" i="1"/>
  <c r="F71" i="1"/>
  <c r="G71" i="1" s="1"/>
  <c r="I70" i="1"/>
  <c r="H70" i="1"/>
  <c r="F70" i="1"/>
  <c r="G70" i="1" s="1"/>
  <c r="I69" i="1"/>
  <c r="H69" i="1"/>
  <c r="F69" i="1"/>
  <c r="G69" i="1" s="1"/>
  <c r="I68" i="1"/>
  <c r="H68" i="1"/>
  <c r="F68" i="1"/>
  <c r="G68" i="1" s="1"/>
  <c r="I67" i="1"/>
  <c r="H67" i="1"/>
  <c r="F67" i="1"/>
  <c r="G67" i="1" s="1"/>
  <c r="F10" i="1"/>
  <c r="G10" i="1" s="1"/>
  <c r="H10" i="1"/>
  <c r="I10" i="1"/>
  <c r="I64" i="1"/>
  <c r="H64" i="1"/>
  <c r="F64" i="1"/>
  <c r="G64" i="1" s="1"/>
  <c r="I63" i="1"/>
  <c r="H63" i="1"/>
  <c r="F63" i="1"/>
  <c r="G63" i="1" s="1"/>
  <c r="I55" i="1"/>
  <c r="H55" i="1"/>
  <c r="F55" i="1"/>
  <c r="G55" i="1" s="1"/>
  <c r="I54" i="1"/>
  <c r="H54" i="1"/>
  <c r="F54" i="1"/>
  <c r="G54" i="1" s="1"/>
  <c r="I53" i="1"/>
  <c r="H53" i="1"/>
  <c r="F53" i="1"/>
  <c r="G53" i="1" s="1"/>
  <c r="I52" i="1"/>
  <c r="H52" i="1"/>
  <c r="F52" i="1"/>
  <c r="G52" i="1" s="1"/>
  <c r="I51" i="1"/>
  <c r="H51" i="1"/>
  <c r="F51" i="1"/>
  <c r="G51" i="1" s="1"/>
  <c r="I65" i="1"/>
  <c r="H65" i="1"/>
  <c r="F65" i="1"/>
  <c r="G65" i="1" s="1"/>
  <c r="I62" i="1"/>
  <c r="H62" i="1"/>
  <c r="F62" i="1"/>
  <c r="G62" i="1" s="1"/>
  <c r="I61" i="1"/>
  <c r="H61" i="1"/>
  <c r="F61" i="1"/>
  <c r="G61" i="1" s="1"/>
  <c r="I60" i="1"/>
  <c r="H60" i="1"/>
  <c r="F60" i="1"/>
  <c r="G60" i="1" s="1"/>
  <c r="I59" i="1"/>
  <c r="H59" i="1"/>
  <c r="F59" i="1"/>
  <c r="G59" i="1" s="1"/>
  <c r="I58" i="1"/>
  <c r="H58" i="1"/>
  <c r="F58" i="1"/>
  <c r="G58" i="1" s="1"/>
  <c r="I44" i="1"/>
  <c r="H44" i="1"/>
  <c r="F44" i="1"/>
  <c r="G44" i="1" s="1"/>
  <c r="I43" i="1"/>
  <c r="H43" i="1"/>
  <c r="F43" i="1"/>
  <c r="G43" i="1" s="1"/>
  <c r="I42" i="1"/>
  <c r="H42" i="1"/>
  <c r="F42" i="1"/>
  <c r="G42" i="1" s="1"/>
  <c r="I56" i="1"/>
  <c r="H56" i="1"/>
  <c r="F56" i="1"/>
  <c r="G56" i="1" s="1"/>
  <c r="I50" i="1"/>
  <c r="H50" i="1"/>
  <c r="F50" i="1"/>
  <c r="G50" i="1" s="1"/>
  <c r="I49" i="1"/>
  <c r="H49" i="1"/>
  <c r="F49" i="1"/>
  <c r="G49" i="1" s="1"/>
  <c r="I48" i="1"/>
  <c r="H48" i="1"/>
  <c r="F48" i="1"/>
  <c r="G48" i="1" s="1"/>
  <c r="I47" i="1"/>
  <c r="H47" i="1"/>
  <c r="F47" i="1"/>
  <c r="G47" i="1" s="1"/>
  <c r="F26" i="1"/>
  <c r="G26" i="1" s="1"/>
  <c r="F31" i="1"/>
  <c r="G31" i="1" s="1"/>
  <c r="H31" i="1"/>
  <c r="I31" i="1"/>
  <c r="F32" i="1"/>
  <c r="G32" i="1" s="1"/>
  <c r="H32" i="1"/>
  <c r="I32" i="1"/>
  <c r="F33" i="1"/>
  <c r="G33" i="1"/>
  <c r="H33" i="1"/>
  <c r="I33" i="1"/>
  <c r="F34" i="1"/>
  <c r="G34" i="1" s="1"/>
  <c r="H34" i="1"/>
  <c r="I34" i="1"/>
  <c r="I45" i="1"/>
  <c r="H45" i="1"/>
  <c r="F45" i="1"/>
  <c r="G45" i="1" s="1"/>
  <c r="I41" i="1"/>
  <c r="H41" i="1"/>
  <c r="F41" i="1"/>
  <c r="G41" i="1" s="1"/>
  <c r="I40" i="1"/>
  <c r="H40" i="1"/>
  <c r="F40" i="1"/>
  <c r="G40" i="1" s="1"/>
  <c r="I39" i="1"/>
  <c r="H39" i="1"/>
  <c r="F39" i="1"/>
  <c r="G39" i="1" s="1"/>
  <c r="I38" i="1"/>
  <c r="H38" i="1"/>
  <c r="F38" i="1"/>
  <c r="G38" i="1" s="1"/>
  <c r="I37" i="1"/>
  <c r="H37" i="1"/>
  <c r="F37" i="1"/>
  <c r="G37" i="1" s="1"/>
  <c r="F15" i="1"/>
  <c r="G15" i="1" s="1"/>
  <c r="H15" i="1"/>
  <c r="I15" i="1"/>
  <c r="F16" i="1"/>
  <c r="G16" i="1" s="1"/>
  <c r="H16" i="1"/>
  <c r="I16" i="1"/>
  <c r="F17" i="1"/>
  <c r="G17" i="1" s="1"/>
  <c r="H17" i="1"/>
  <c r="I17" i="1"/>
  <c r="F18" i="1"/>
  <c r="G18" i="1" s="1"/>
  <c r="H18" i="1"/>
  <c r="I18" i="1"/>
  <c r="F19" i="1"/>
  <c r="G19" i="1" s="1"/>
  <c r="H19" i="1"/>
  <c r="I19" i="1"/>
  <c r="F20" i="1"/>
  <c r="G20" i="1" s="1"/>
  <c r="H20" i="1"/>
  <c r="I20" i="1"/>
  <c r="F21" i="1"/>
  <c r="G21" i="1" s="1"/>
  <c r="H21" i="1"/>
  <c r="I21" i="1"/>
  <c r="F22" i="1"/>
  <c r="G22" i="1" s="1"/>
  <c r="H22" i="1"/>
  <c r="I22" i="1"/>
  <c r="F23" i="1"/>
  <c r="G23" i="1" s="1"/>
  <c r="H23" i="1"/>
  <c r="I23" i="1"/>
  <c r="F6" i="1"/>
  <c r="G6" i="1" s="1"/>
  <c r="H6" i="1"/>
  <c r="I6" i="1"/>
  <c r="F7" i="1"/>
  <c r="G7" i="1" s="1"/>
  <c r="H7" i="1"/>
  <c r="I7" i="1"/>
  <c r="F8" i="1"/>
  <c r="G8" i="1" s="1"/>
  <c r="H8" i="1"/>
  <c r="I8" i="1"/>
  <c r="F9" i="1"/>
  <c r="G9" i="1" s="1"/>
  <c r="H9" i="1"/>
  <c r="I9" i="1"/>
  <c r="F11" i="1"/>
  <c r="G11" i="1" s="1"/>
  <c r="H11" i="1"/>
  <c r="I11" i="1"/>
  <c r="F12" i="1"/>
  <c r="G12" i="1" s="1"/>
  <c r="H12" i="1"/>
  <c r="I12" i="1"/>
  <c r="F13" i="1"/>
  <c r="G13" i="1" s="1"/>
  <c r="H13" i="1"/>
  <c r="I13" i="1"/>
  <c r="F14" i="1"/>
  <c r="G14" i="1" s="1"/>
  <c r="H14" i="1"/>
  <c r="I14" i="1"/>
  <c r="F4" i="1"/>
  <c r="G4" i="1" s="1"/>
  <c r="I35" i="1"/>
  <c r="H35" i="1"/>
  <c r="F35" i="1"/>
  <c r="G35" i="1" s="1"/>
  <c r="I30" i="1"/>
  <c r="H30" i="1"/>
  <c r="F30" i="1"/>
  <c r="G30" i="1" s="1"/>
  <c r="I29" i="1"/>
  <c r="H29" i="1"/>
  <c r="F29" i="1"/>
  <c r="G29" i="1" s="1"/>
  <c r="I28" i="1"/>
  <c r="H28" i="1"/>
  <c r="F28" i="1"/>
  <c r="G28" i="1" s="1"/>
  <c r="I27" i="1"/>
  <c r="H27" i="1"/>
  <c r="F27" i="1"/>
  <c r="G27" i="1" s="1"/>
  <c r="I26" i="1"/>
  <c r="H26" i="1"/>
  <c r="I24" i="1"/>
  <c r="H24" i="1"/>
  <c r="F24" i="1"/>
  <c r="G24" i="1" s="1"/>
  <c r="I5" i="1"/>
  <c r="H5" i="1"/>
  <c r="F5" i="1"/>
  <c r="G5" i="1" s="1"/>
  <c r="I4" i="1"/>
  <c r="H4" i="1"/>
</calcChain>
</file>

<file path=xl/sharedStrings.xml><?xml version="1.0" encoding="utf-8"?>
<sst xmlns="http://schemas.openxmlformats.org/spreadsheetml/2006/main" count="110" uniqueCount="43">
  <si>
    <t>💳  SETTLEMENT PAYMENT TRACKER</t>
  </si>
  <si>
    <t>Blue cells = you fill in once   |   Grey cells = auto-calculated   |   Do NOT edit grey cells</t>
  </si>
  <si>
    <t>Creditor Name</t>
  </si>
  <si>
    <t>Payment #</t>
  </si>
  <si>
    <t>Payment Amount ($)</t>
  </si>
  <si>
    <t>Due Date</t>
  </si>
  <si>
    <t>Balance Before ($)</t>
  </si>
  <si>
    <t>Balance After ($)</t>
  </si>
  <si>
    <t>Status</t>
  </si>
  <si>
    <t>Notify 2 Weeks Before</t>
  </si>
  <si>
    <t>Notify 1 Week Before</t>
  </si>
  <si>
    <t>Notes</t>
  </si>
  <si>
    <t>MCM</t>
  </si>
  <si>
    <t>← Settlement complete!</t>
  </si>
  <si>
    <t>SPOTLOAN</t>
  </si>
  <si>
    <t>CAPITAL ONE</t>
  </si>
  <si>
    <t>AFFIRM 1</t>
  </si>
  <si>
    <t>AFFIRM 2</t>
  </si>
  <si>
    <t>HOW TO USE THIS TRACKER</t>
  </si>
  <si>
    <t>SETUP (do this once per settlement):</t>
  </si>
  <si>
    <t xml:space="preserve">  1. In the Settlements sheet, fill in the BLUE cells only.</t>
  </si>
  <si>
    <t xml:space="preserve">  2. Creditor Name  →  The name of the debt collector or bill.</t>
  </si>
  <si>
    <t xml:space="preserve">  3. Payment #      →  1, 2, 3... for each installment.</t>
  </si>
  <si>
    <t xml:space="preserve">  4. Payment Amount →  How much is deducted each time.</t>
  </si>
  <si>
    <t xml:space="preserve">  5. Due Date       →  The exact date it hits your bank account.</t>
  </si>
  <si>
    <t xml:space="preserve">  6. Balance Before →  For payment #1: the full amount you owe.</t>
  </si>
  <si>
    <t xml:space="preserve">                        For payment #2+: leave it — Python handles it.</t>
  </si>
  <si>
    <t>GREY CELLS — DO NOT EDIT:</t>
  </si>
  <si>
    <t xml:space="preserve">  • Balance After         →  Auto-calculated (Balance Before - Payment Amount)</t>
  </si>
  <si>
    <t xml:space="preserve">  • Status                →  Auto-updates (Upcoming / Overdue / Paid Off)</t>
  </si>
  <si>
    <t xml:space="preserve">  • Notify 2 Weeks Before →  Auto-calculated (Due Date - 14 days)</t>
  </si>
  <si>
    <t xml:space="preserve">  • Notify 1 Week Before  →  Auto-calculated (Due Date - 7 days)</t>
  </si>
  <si>
    <t>ADDING A NEW SETTLEMENT:</t>
  </si>
  <si>
    <t xml:space="preserve">  1. Add a blank separator row after the last creditor.</t>
  </si>
  <si>
    <t xml:space="preserve">  2. Fill in all payment rows for the new settlement (blue cells only).</t>
  </si>
  <si>
    <t xml:space="preserve">  3. Run the Python script — it will pick up the new entries automatically.</t>
  </si>
  <si>
    <t>REMOVING A SETTLEMENT:</t>
  </si>
  <si>
    <t xml:space="preserve">  Simply delete the rows for that creditor. Python will ignore it.</t>
  </si>
  <si>
    <t>COLOR GUIDE:</t>
  </si>
  <si>
    <t xml:space="preserve">  🔵 Blue text on light blue background  →  You fill this in</t>
  </si>
  <si>
    <t xml:space="preserve">  ⚫ Black text on grey background        →  Auto-calculated, do not edit</t>
  </si>
  <si>
    <t xml:space="preserve">  🟢 Green text                           →  Final payment / paid off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</si>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</sst>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m\ dd\,\ yyyy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777777"/>
      <name val="Arial"/>
      <family val="2"/>
    </font>
    <font>
      <b/>
      <sz val="10"/>
      <color rgb="FF006400"/>
      <name val="Arial"/>
      <family val="2"/>
    </font>
    <font>
      <i/>
      <sz val="9"/>
      <color rgb="FF0064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64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164" fontId="5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zoomScale="130" zoomScaleNormal="130" workbookViewId="0">
      <pane ySplit="3" topLeftCell="A56" activePane="bottomLeft" state="frozen"/>
      <selection pane="bottomLeft" activeCell="B77" sqref="B77"/>
    </sheetView>
  </sheetViews>
  <sheetFormatPr baseColWidth="10" defaultColWidth="8.83203125" defaultRowHeight="15" x14ac:dyDescent="0.2"/>
  <cols>
    <col min="1" max="1" width="21.1640625" bestFit="1" customWidth="1"/>
    <col min="2" max="2" width="10" customWidth="1"/>
    <col min="3" max="3" width="18" customWidth="1"/>
    <col min="4" max="4" width="14" customWidth="1"/>
    <col min="5" max="6" width="18" customWidth="1"/>
    <col min="7" max="7" width="14" customWidth="1"/>
    <col min="8" max="9" width="20" customWidth="1"/>
    <col min="10" max="10" width="24" customWidth="1"/>
  </cols>
  <sheetData>
    <row r="1" spans="1:10" ht="32" customHeight="1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6" customHeight="1" x14ac:dyDescent="0.2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0" customHeight="1" x14ac:dyDescent="0.2">
      <c r="A4" s="2" t="s">
        <v>12</v>
      </c>
      <c r="B4" s="3">
        <v>1</v>
      </c>
      <c r="C4" s="4">
        <v>44.35</v>
      </c>
      <c r="D4" s="5">
        <v>46119</v>
      </c>
      <c r="E4" s="4">
        <v>931.25</v>
      </c>
      <c r="F4" s="6">
        <f t="shared" ref="F4:F24" si="0">E4-C4</f>
        <v>886.9</v>
      </c>
      <c r="G4" s="7" t="str">
        <f t="shared" ref="G4:G24" ca="1" si="1">IF(F4=0,"✅ PAID OFF",IF(TODAY()&gt;D4,"⚠️ OVERDUE","🔔 Upcoming"))</f>
        <v>🔔 Upcoming</v>
      </c>
      <c r="H4" s="8">
        <f t="shared" ref="H4:H24" si="2">D4-14</f>
        <v>46105</v>
      </c>
      <c r="I4" s="8">
        <f t="shared" ref="I4:I24" si="3">D4-7</f>
        <v>46112</v>
      </c>
      <c r="J4" s="9"/>
    </row>
    <row r="5" spans="1:10" ht="20" customHeight="1" x14ac:dyDescent="0.2">
      <c r="A5" s="2" t="s">
        <v>12</v>
      </c>
      <c r="B5" s="3">
        <v>2</v>
      </c>
      <c r="C5" s="4">
        <v>44.35</v>
      </c>
      <c r="D5" s="5">
        <v>46133</v>
      </c>
      <c r="E5" s="4">
        <v>886.9</v>
      </c>
      <c r="F5" s="6">
        <f t="shared" si="0"/>
        <v>842.55</v>
      </c>
      <c r="G5" s="7" t="str">
        <f t="shared" ca="1" si="1"/>
        <v>🔔 Upcoming</v>
      </c>
      <c r="H5" s="8">
        <f t="shared" si="2"/>
        <v>46119</v>
      </c>
      <c r="I5" s="8">
        <f t="shared" si="3"/>
        <v>46126</v>
      </c>
      <c r="J5" s="9"/>
    </row>
    <row r="6" spans="1:10" ht="20" customHeight="1" x14ac:dyDescent="0.2">
      <c r="A6" s="2" t="s">
        <v>12</v>
      </c>
      <c r="B6" s="3">
        <v>3</v>
      </c>
      <c r="C6" s="4">
        <v>44.35</v>
      </c>
      <c r="D6" s="5">
        <v>46147</v>
      </c>
      <c r="E6" s="4">
        <v>842.55</v>
      </c>
      <c r="F6" s="6">
        <f t="shared" si="0"/>
        <v>798.19999999999993</v>
      </c>
      <c r="G6" s="7" t="str">
        <f t="shared" ca="1" si="1"/>
        <v>🔔 Upcoming</v>
      </c>
      <c r="H6" s="8">
        <f t="shared" si="2"/>
        <v>46133</v>
      </c>
      <c r="I6" s="8">
        <f t="shared" si="3"/>
        <v>46140</v>
      </c>
      <c r="J6" s="9"/>
    </row>
    <row r="7" spans="1:10" ht="20" customHeight="1" x14ac:dyDescent="0.2">
      <c r="A7" s="2" t="s">
        <v>12</v>
      </c>
      <c r="B7" s="3">
        <v>4</v>
      </c>
      <c r="C7" s="4">
        <v>44.35</v>
      </c>
      <c r="D7" s="5">
        <v>46161</v>
      </c>
      <c r="E7" s="4">
        <v>798.2</v>
      </c>
      <c r="F7" s="6">
        <f t="shared" si="0"/>
        <v>753.85</v>
      </c>
      <c r="G7" s="7" t="str">
        <f t="shared" ca="1" si="1"/>
        <v>🔔 Upcoming</v>
      </c>
      <c r="H7" s="8">
        <f t="shared" si="2"/>
        <v>46147</v>
      </c>
      <c r="I7" s="8">
        <f t="shared" si="3"/>
        <v>46154</v>
      </c>
      <c r="J7" s="9"/>
    </row>
    <row r="8" spans="1:10" ht="20" customHeight="1" x14ac:dyDescent="0.2">
      <c r="A8" s="2" t="s">
        <v>12</v>
      </c>
      <c r="B8" s="3">
        <v>5</v>
      </c>
      <c r="C8" s="4">
        <v>44.35</v>
      </c>
      <c r="D8" s="5">
        <v>46175</v>
      </c>
      <c r="E8" s="4">
        <v>753.85</v>
      </c>
      <c r="F8" s="6">
        <f t="shared" si="0"/>
        <v>709.5</v>
      </c>
      <c r="G8" s="7" t="str">
        <f t="shared" ca="1" si="1"/>
        <v>🔔 Upcoming</v>
      </c>
      <c r="H8" s="8">
        <f t="shared" si="2"/>
        <v>46161</v>
      </c>
      <c r="I8" s="8">
        <f t="shared" si="3"/>
        <v>46168</v>
      </c>
      <c r="J8" s="9"/>
    </row>
    <row r="9" spans="1:10" ht="20" customHeight="1" x14ac:dyDescent="0.2">
      <c r="A9" s="2" t="s">
        <v>12</v>
      </c>
      <c r="B9" s="3">
        <v>6</v>
      </c>
      <c r="C9" s="4">
        <v>44.35</v>
      </c>
      <c r="D9" s="5">
        <v>46189</v>
      </c>
      <c r="E9" s="4">
        <v>709.5</v>
      </c>
      <c r="F9" s="6">
        <f t="shared" si="0"/>
        <v>665.15</v>
      </c>
      <c r="G9" s="7" t="str">
        <f t="shared" ca="1" si="1"/>
        <v>🔔 Upcoming</v>
      </c>
      <c r="H9" s="8">
        <f t="shared" si="2"/>
        <v>46175</v>
      </c>
      <c r="I9" s="8">
        <f t="shared" si="3"/>
        <v>46182</v>
      </c>
      <c r="J9" s="9"/>
    </row>
    <row r="10" spans="1:10" ht="20" customHeight="1" x14ac:dyDescent="0.2">
      <c r="A10" s="2" t="s">
        <v>12</v>
      </c>
      <c r="B10" s="3">
        <v>7</v>
      </c>
      <c r="C10" s="4">
        <v>44.35</v>
      </c>
      <c r="D10" s="5">
        <v>46203</v>
      </c>
      <c r="E10" s="4">
        <v>665.15</v>
      </c>
      <c r="F10" s="6">
        <f t="shared" ref="F10" si="4">E10-C10</f>
        <v>620.79999999999995</v>
      </c>
      <c r="G10" s="7" t="str">
        <f t="shared" ref="G10" ca="1" si="5">IF(F10=0,"✅ PAID OFF",IF(TODAY()&gt;D10,"⚠️ OVERDUE","🔔 Upcoming"))</f>
        <v>🔔 Upcoming</v>
      </c>
      <c r="H10" s="8">
        <f t="shared" ref="H10" si="6">D10-14</f>
        <v>46189</v>
      </c>
      <c r="I10" s="8">
        <f t="shared" ref="I10" si="7">D10-7</f>
        <v>46196</v>
      </c>
      <c r="J10" s="9"/>
    </row>
    <row r="11" spans="1:10" ht="20" customHeight="1" x14ac:dyDescent="0.2">
      <c r="A11" s="2" t="s">
        <v>12</v>
      </c>
      <c r="B11" s="3">
        <v>8</v>
      </c>
      <c r="C11" s="4">
        <v>44.35</v>
      </c>
      <c r="D11" s="5">
        <v>46217</v>
      </c>
      <c r="E11" s="4">
        <v>620.79999999999995</v>
      </c>
      <c r="F11" s="6">
        <f t="shared" si="0"/>
        <v>576.44999999999993</v>
      </c>
      <c r="G11" s="7" t="str">
        <f t="shared" ca="1" si="1"/>
        <v>🔔 Upcoming</v>
      </c>
      <c r="H11" s="8">
        <f t="shared" si="2"/>
        <v>46203</v>
      </c>
      <c r="I11" s="8">
        <f t="shared" si="3"/>
        <v>46210</v>
      </c>
      <c r="J11" s="9"/>
    </row>
    <row r="12" spans="1:10" ht="20" customHeight="1" x14ac:dyDescent="0.2">
      <c r="A12" s="2" t="s">
        <v>12</v>
      </c>
      <c r="B12" s="3">
        <v>9</v>
      </c>
      <c r="C12" s="4">
        <v>44.35</v>
      </c>
      <c r="D12" s="5">
        <v>46231</v>
      </c>
      <c r="E12" s="4">
        <v>576.45000000000005</v>
      </c>
      <c r="F12" s="6">
        <f t="shared" si="0"/>
        <v>532.1</v>
      </c>
      <c r="G12" s="7" t="str">
        <f t="shared" ca="1" si="1"/>
        <v>🔔 Upcoming</v>
      </c>
      <c r="H12" s="8">
        <f t="shared" si="2"/>
        <v>46217</v>
      </c>
      <c r="I12" s="8">
        <f t="shared" si="3"/>
        <v>46224</v>
      </c>
      <c r="J12" s="9"/>
    </row>
    <row r="13" spans="1:10" ht="20" customHeight="1" x14ac:dyDescent="0.2">
      <c r="A13" s="2" t="s">
        <v>12</v>
      </c>
      <c r="B13" s="3">
        <v>10</v>
      </c>
      <c r="C13" s="4">
        <v>44.35</v>
      </c>
      <c r="D13" s="5">
        <v>46245</v>
      </c>
      <c r="E13" s="4">
        <v>532.1</v>
      </c>
      <c r="F13" s="6">
        <f t="shared" si="0"/>
        <v>487.75</v>
      </c>
      <c r="G13" s="7" t="str">
        <f t="shared" ca="1" si="1"/>
        <v>🔔 Upcoming</v>
      </c>
      <c r="H13" s="8">
        <f t="shared" si="2"/>
        <v>46231</v>
      </c>
      <c r="I13" s="8">
        <f t="shared" si="3"/>
        <v>46238</v>
      </c>
      <c r="J13" s="9"/>
    </row>
    <row r="14" spans="1:10" ht="20" customHeight="1" x14ac:dyDescent="0.2">
      <c r="A14" s="2" t="s">
        <v>12</v>
      </c>
      <c r="B14" s="3">
        <v>12</v>
      </c>
      <c r="C14" s="4">
        <v>44.35</v>
      </c>
      <c r="D14" s="5">
        <v>46259</v>
      </c>
      <c r="E14" s="4">
        <v>487.75</v>
      </c>
      <c r="F14" s="6">
        <f t="shared" si="0"/>
        <v>443.4</v>
      </c>
      <c r="G14" s="7" t="str">
        <f t="shared" ca="1" si="1"/>
        <v>🔔 Upcoming</v>
      </c>
      <c r="H14" s="8">
        <f t="shared" si="2"/>
        <v>46245</v>
      </c>
      <c r="I14" s="8">
        <f t="shared" si="3"/>
        <v>46252</v>
      </c>
      <c r="J14" s="9"/>
    </row>
    <row r="15" spans="1:10" ht="20" customHeight="1" x14ac:dyDescent="0.2">
      <c r="A15" s="2" t="s">
        <v>12</v>
      </c>
      <c r="B15" s="3">
        <v>13</v>
      </c>
      <c r="C15" s="4">
        <v>44.35</v>
      </c>
      <c r="D15" s="5">
        <v>46273</v>
      </c>
      <c r="E15" s="4">
        <v>443.4</v>
      </c>
      <c r="F15" s="6">
        <f t="shared" si="0"/>
        <v>399.04999999999995</v>
      </c>
      <c r="G15" s="7" t="str">
        <f t="shared" ca="1" si="1"/>
        <v>🔔 Upcoming</v>
      </c>
      <c r="H15" s="8">
        <f t="shared" si="2"/>
        <v>46259</v>
      </c>
      <c r="I15" s="8">
        <f t="shared" si="3"/>
        <v>46266</v>
      </c>
      <c r="J15" s="9"/>
    </row>
    <row r="16" spans="1:10" ht="20" customHeight="1" x14ac:dyDescent="0.2">
      <c r="A16" s="2" t="s">
        <v>12</v>
      </c>
      <c r="B16" s="3">
        <v>14</v>
      </c>
      <c r="C16" s="4">
        <v>44.35</v>
      </c>
      <c r="D16" s="5">
        <v>46287</v>
      </c>
      <c r="E16" s="4">
        <v>399.05</v>
      </c>
      <c r="F16" s="6">
        <f t="shared" si="0"/>
        <v>354.7</v>
      </c>
      <c r="G16" s="7" t="str">
        <f t="shared" ca="1" si="1"/>
        <v>🔔 Upcoming</v>
      </c>
      <c r="H16" s="8">
        <f t="shared" si="2"/>
        <v>46273</v>
      </c>
      <c r="I16" s="8">
        <f t="shared" si="3"/>
        <v>46280</v>
      </c>
      <c r="J16" s="9"/>
    </row>
    <row r="17" spans="1:10" ht="20" customHeight="1" x14ac:dyDescent="0.2">
      <c r="A17" s="2" t="s">
        <v>12</v>
      </c>
      <c r="B17" s="3">
        <v>15</v>
      </c>
      <c r="C17" s="4">
        <v>44.35</v>
      </c>
      <c r="D17" s="5">
        <v>46301</v>
      </c>
      <c r="E17" s="4">
        <v>354.7</v>
      </c>
      <c r="F17" s="6">
        <f t="shared" si="0"/>
        <v>310.34999999999997</v>
      </c>
      <c r="G17" s="7" t="str">
        <f t="shared" ca="1" si="1"/>
        <v>🔔 Upcoming</v>
      </c>
      <c r="H17" s="8">
        <f t="shared" si="2"/>
        <v>46287</v>
      </c>
      <c r="I17" s="8">
        <f t="shared" si="3"/>
        <v>46294</v>
      </c>
      <c r="J17" s="9"/>
    </row>
    <row r="18" spans="1:10" ht="20" customHeight="1" x14ac:dyDescent="0.2">
      <c r="A18" s="2" t="s">
        <v>12</v>
      </c>
      <c r="B18" s="3">
        <v>16</v>
      </c>
      <c r="C18" s="4">
        <v>44.35</v>
      </c>
      <c r="D18" s="5">
        <v>46315</v>
      </c>
      <c r="E18" s="4">
        <v>310.35000000000002</v>
      </c>
      <c r="F18" s="6">
        <f t="shared" si="0"/>
        <v>266</v>
      </c>
      <c r="G18" s="7" t="str">
        <f t="shared" ca="1" si="1"/>
        <v>🔔 Upcoming</v>
      </c>
      <c r="H18" s="8">
        <f t="shared" si="2"/>
        <v>46301</v>
      </c>
      <c r="I18" s="8">
        <f t="shared" si="3"/>
        <v>46308</v>
      </c>
      <c r="J18" s="9"/>
    </row>
    <row r="19" spans="1:10" ht="20" customHeight="1" x14ac:dyDescent="0.2">
      <c r="A19" s="2" t="s">
        <v>12</v>
      </c>
      <c r="B19" s="3">
        <v>17</v>
      </c>
      <c r="C19" s="4">
        <v>44.35</v>
      </c>
      <c r="D19" s="5">
        <v>46329</v>
      </c>
      <c r="E19" s="4">
        <v>266</v>
      </c>
      <c r="F19" s="6">
        <f t="shared" si="0"/>
        <v>221.65</v>
      </c>
      <c r="G19" s="7" t="str">
        <f t="shared" ca="1" si="1"/>
        <v>🔔 Upcoming</v>
      </c>
      <c r="H19" s="8">
        <f t="shared" si="2"/>
        <v>46315</v>
      </c>
      <c r="I19" s="8">
        <f t="shared" si="3"/>
        <v>46322</v>
      </c>
      <c r="J19" s="9"/>
    </row>
    <row r="20" spans="1:10" ht="20" customHeight="1" x14ac:dyDescent="0.2">
      <c r="A20" s="2" t="s">
        <v>12</v>
      </c>
      <c r="B20" s="3">
        <v>18</v>
      </c>
      <c r="C20" s="4">
        <v>44.35</v>
      </c>
      <c r="D20" s="5">
        <v>46343</v>
      </c>
      <c r="E20" s="4">
        <v>221.65</v>
      </c>
      <c r="F20" s="6">
        <f t="shared" si="0"/>
        <v>177.3</v>
      </c>
      <c r="G20" s="7" t="str">
        <f t="shared" ca="1" si="1"/>
        <v>🔔 Upcoming</v>
      </c>
      <c r="H20" s="8">
        <f t="shared" si="2"/>
        <v>46329</v>
      </c>
      <c r="I20" s="8">
        <f t="shared" si="3"/>
        <v>46336</v>
      </c>
      <c r="J20" s="9"/>
    </row>
    <row r="21" spans="1:10" ht="20" customHeight="1" x14ac:dyDescent="0.2">
      <c r="A21" s="2" t="s">
        <v>12</v>
      </c>
      <c r="B21" s="3">
        <v>19</v>
      </c>
      <c r="C21" s="4">
        <v>44.35</v>
      </c>
      <c r="D21" s="5">
        <v>46357</v>
      </c>
      <c r="E21" s="4">
        <v>177.3</v>
      </c>
      <c r="F21" s="6">
        <f t="shared" si="0"/>
        <v>132.95000000000002</v>
      </c>
      <c r="G21" s="7" t="str">
        <f t="shared" ca="1" si="1"/>
        <v>🔔 Upcoming</v>
      </c>
      <c r="H21" s="8">
        <f t="shared" si="2"/>
        <v>46343</v>
      </c>
      <c r="I21" s="8">
        <f t="shared" si="3"/>
        <v>46350</v>
      </c>
      <c r="J21" s="9"/>
    </row>
    <row r="22" spans="1:10" ht="20" customHeight="1" x14ac:dyDescent="0.2">
      <c r="A22" s="2" t="s">
        <v>12</v>
      </c>
      <c r="B22" s="3">
        <v>20</v>
      </c>
      <c r="C22" s="4">
        <v>44.35</v>
      </c>
      <c r="D22" s="5">
        <v>46371</v>
      </c>
      <c r="E22" s="4">
        <v>132.94999999999999</v>
      </c>
      <c r="F22" s="6">
        <f t="shared" si="0"/>
        <v>88.6</v>
      </c>
      <c r="G22" s="7" t="str">
        <f t="shared" ca="1" si="1"/>
        <v>🔔 Upcoming</v>
      </c>
      <c r="H22" s="8">
        <f t="shared" si="2"/>
        <v>46357</v>
      </c>
      <c r="I22" s="8">
        <f t="shared" si="3"/>
        <v>46364</v>
      </c>
      <c r="J22" s="9"/>
    </row>
    <row r="23" spans="1:10" ht="20" customHeight="1" x14ac:dyDescent="0.2">
      <c r="A23" s="2" t="s">
        <v>12</v>
      </c>
      <c r="B23" s="3">
        <v>21</v>
      </c>
      <c r="C23" s="4">
        <v>44.35</v>
      </c>
      <c r="D23" s="5">
        <v>46385</v>
      </c>
      <c r="E23" s="4">
        <v>88.6</v>
      </c>
      <c r="F23" s="6">
        <f t="shared" si="0"/>
        <v>44.249999999999993</v>
      </c>
      <c r="G23" s="7" t="str">
        <f t="shared" ca="1" si="1"/>
        <v>🔔 Upcoming</v>
      </c>
      <c r="H23" s="8">
        <f t="shared" si="2"/>
        <v>46371</v>
      </c>
      <c r="I23" s="8">
        <f t="shared" si="3"/>
        <v>46378</v>
      </c>
      <c r="J23" s="9"/>
    </row>
    <row r="24" spans="1:10" ht="20" customHeight="1" x14ac:dyDescent="0.2">
      <c r="A24" s="2" t="s">
        <v>12</v>
      </c>
      <c r="B24" s="3">
        <v>22</v>
      </c>
      <c r="C24" s="4">
        <v>44.25</v>
      </c>
      <c r="D24" s="5">
        <v>46399</v>
      </c>
      <c r="E24" s="4">
        <v>44.25</v>
      </c>
      <c r="F24" s="10">
        <f t="shared" si="0"/>
        <v>0</v>
      </c>
      <c r="G24" s="7" t="str">
        <f t="shared" ca="1" si="1"/>
        <v>✅ PAID OFF</v>
      </c>
      <c r="H24" s="8">
        <f t="shared" si="2"/>
        <v>46385</v>
      </c>
      <c r="I24" s="8">
        <f t="shared" si="3"/>
        <v>46392</v>
      </c>
      <c r="J24" s="11" t="s">
        <v>13</v>
      </c>
    </row>
    <row r="25" spans="1:10" ht="20" customHeight="1" x14ac:dyDescent="0.2"/>
    <row r="26" spans="1:10" x14ac:dyDescent="0.2">
      <c r="A26" s="2" t="s">
        <v>14</v>
      </c>
      <c r="B26" s="3">
        <v>1</v>
      </c>
      <c r="C26" s="4">
        <v>24.17</v>
      </c>
      <c r="D26" s="5">
        <v>46122</v>
      </c>
      <c r="E26" s="4">
        <v>223.57</v>
      </c>
      <c r="F26" s="6">
        <f t="shared" ref="F26:F35" si="8">E26-C26</f>
        <v>199.39999999999998</v>
      </c>
      <c r="G26" s="7" t="str">
        <f t="shared" ref="G26:G35" ca="1" si="9">IF(F26=0,"✅ PAID OFF",IF(TODAY()&gt;D26,"⚠️ OVERDUE","🔔 Upcoming"))</f>
        <v>🔔 Upcoming</v>
      </c>
      <c r="H26" s="8">
        <f t="shared" ref="H26:H35" si="10">D26-14</f>
        <v>46108</v>
      </c>
      <c r="I26" s="8">
        <f t="shared" ref="I26:I35" si="11">D26-7</f>
        <v>46115</v>
      </c>
      <c r="J26" s="9"/>
    </row>
    <row r="27" spans="1:10" ht="20" customHeight="1" x14ac:dyDescent="0.2">
      <c r="A27" s="2" t="s">
        <v>14</v>
      </c>
      <c r="B27" s="3">
        <v>2</v>
      </c>
      <c r="C27" s="4">
        <v>24.17</v>
      </c>
      <c r="D27" s="5">
        <v>46136</v>
      </c>
      <c r="E27" s="4">
        <v>199.4</v>
      </c>
      <c r="F27" s="6">
        <f t="shared" si="8"/>
        <v>175.23000000000002</v>
      </c>
      <c r="G27" s="7" t="str">
        <f t="shared" ca="1" si="9"/>
        <v>🔔 Upcoming</v>
      </c>
      <c r="H27" s="8">
        <f t="shared" si="10"/>
        <v>46122</v>
      </c>
      <c r="I27" s="8">
        <f t="shared" si="11"/>
        <v>46129</v>
      </c>
      <c r="J27" s="9"/>
    </row>
    <row r="28" spans="1:10" ht="20" customHeight="1" x14ac:dyDescent="0.2">
      <c r="A28" s="2" t="s">
        <v>14</v>
      </c>
      <c r="B28" s="3">
        <v>3</v>
      </c>
      <c r="C28" s="4">
        <v>24.17</v>
      </c>
      <c r="D28" s="5">
        <v>46150</v>
      </c>
      <c r="E28" s="4">
        <v>175.23</v>
      </c>
      <c r="F28" s="6">
        <f t="shared" si="8"/>
        <v>151.06</v>
      </c>
      <c r="G28" s="7" t="str">
        <f t="shared" ca="1" si="9"/>
        <v>🔔 Upcoming</v>
      </c>
      <c r="H28" s="8">
        <f t="shared" si="10"/>
        <v>46136</v>
      </c>
      <c r="I28" s="8">
        <f t="shared" si="11"/>
        <v>46143</v>
      </c>
      <c r="J28" s="9"/>
    </row>
    <row r="29" spans="1:10" ht="20" customHeight="1" x14ac:dyDescent="0.2">
      <c r="A29" s="2" t="s">
        <v>14</v>
      </c>
      <c r="B29" s="3">
        <v>4</v>
      </c>
      <c r="C29" s="4">
        <v>24.17</v>
      </c>
      <c r="D29" s="5">
        <v>46164</v>
      </c>
      <c r="E29" s="4">
        <v>151.06</v>
      </c>
      <c r="F29" s="6">
        <f t="shared" si="8"/>
        <v>126.89</v>
      </c>
      <c r="G29" s="7" t="str">
        <f t="shared" ca="1" si="9"/>
        <v>🔔 Upcoming</v>
      </c>
      <c r="H29" s="8">
        <f t="shared" si="10"/>
        <v>46150</v>
      </c>
      <c r="I29" s="8">
        <f t="shared" si="11"/>
        <v>46157</v>
      </c>
      <c r="J29" s="9"/>
    </row>
    <row r="30" spans="1:10" ht="20" customHeight="1" x14ac:dyDescent="0.2">
      <c r="A30" s="2" t="s">
        <v>14</v>
      </c>
      <c r="B30" s="3">
        <v>5</v>
      </c>
      <c r="C30" s="4">
        <v>24.17</v>
      </c>
      <c r="D30" s="5">
        <v>46178</v>
      </c>
      <c r="E30" s="4">
        <v>126.89</v>
      </c>
      <c r="F30" s="6">
        <f t="shared" si="8"/>
        <v>102.72</v>
      </c>
      <c r="G30" s="7" t="str">
        <f t="shared" ca="1" si="9"/>
        <v>🔔 Upcoming</v>
      </c>
      <c r="H30" s="8">
        <f t="shared" si="10"/>
        <v>46164</v>
      </c>
      <c r="I30" s="8">
        <f t="shared" si="11"/>
        <v>46171</v>
      </c>
      <c r="J30" s="9"/>
    </row>
    <row r="31" spans="1:10" ht="20" customHeight="1" x14ac:dyDescent="0.2">
      <c r="A31" s="2" t="s">
        <v>14</v>
      </c>
      <c r="B31" s="3">
        <v>6</v>
      </c>
      <c r="C31" s="4">
        <v>24.17</v>
      </c>
      <c r="D31" s="5">
        <v>46192</v>
      </c>
      <c r="E31" s="4">
        <v>102.72</v>
      </c>
      <c r="F31" s="6">
        <f t="shared" si="8"/>
        <v>78.55</v>
      </c>
      <c r="G31" s="7" t="str">
        <f t="shared" ca="1" si="9"/>
        <v>🔔 Upcoming</v>
      </c>
      <c r="H31" s="8">
        <f t="shared" si="10"/>
        <v>46178</v>
      </c>
      <c r="I31" s="8">
        <f t="shared" si="11"/>
        <v>46185</v>
      </c>
      <c r="J31" s="9"/>
    </row>
    <row r="32" spans="1:10" ht="20" customHeight="1" x14ac:dyDescent="0.2">
      <c r="A32" s="2" t="s">
        <v>14</v>
      </c>
      <c r="B32" s="3">
        <v>7</v>
      </c>
      <c r="C32" s="4">
        <v>24.17</v>
      </c>
      <c r="D32" s="5">
        <v>46206</v>
      </c>
      <c r="E32" s="4">
        <v>78.55</v>
      </c>
      <c r="F32" s="6">
        <f t="shared" si="8"/>
        <v>54.379999999999995</v>
      </c>
      <c r="G32" s="7" t="str">
        <f t="shared" ca="1" si="9"/>
        <v>🔔 Upcoming</v>
      </c>
      <c r="H32" s="8">
        <f t="shared" si="10"/>
        <v>46192</v>
      </c>
      <c r="I32" s="8">
        <f t="shared" si="11"/>
        <v>46199</v>
      </c>
      <c r="J32" s="9"/>
    </row>
    <row r="33" spans="1:10" ht="20" customHeight="1" x14ac:dyDescent="0.2">
      <c r="A33" s="2" t="s">
        <v>14</v>
      </c>
      <c r="B33" s="3">
        <v>8</v>
      </c>
      <c r="C33" s="4">
        <v>24.17</v>
      </c>
      <c r="D33" s="5">
        <v>46220</v>
      </c>
      <c r="E33" s="4">
        <v>54.38</v>
      </c>
      <c r="F33" s="6">
        <f t="shared" si="8"/>
        <v>30.21</v>
      </c>
      <c r="G33" s="7" t="str">
        <f t="shared" ca="1" si="9"/>
        <v>🔔 Upcoming</v>
      </c>
      <c r="H33" s="8">
        <f t="shared" si="10"/>
        <v>46206</v>
      </c>
      <c r="I33" s="8">
        <f t="shared" si="11"/>
        <v>46213</v>
      </c>
      <c r="J33" s="9"/>
    </row>
    <row r="34" spans="1:10" ht="20" customHeight="1" x14ac:dyDescent="0.2">
      <c r="A34" s="2" t="s">
        <v>14</v>
      </c>
      <c r="B34" s="3">
        <v>9</v>
      </c>
      <c r="C34" s="4">
        <v>24.17</v>
      </c>
      <c r="D34" s="5">
        <v>46234</v>
      </c>
      <c r="E34" s="4">
        <v>30.21</v>
      </c>
      <c r="F34" s="6">
        <f t="shared" si="8"/>
        <v>6.0399999999999991</v>
      </c>
      <c r="G34" s="7" t="str">
        <f t="shared" ca="1" si="9"/>
        <v>🔔 Upcoming</v>
      </c>
      <c r="H34" s="8">
        <f t="shared" si="10"/>
        <v>46220</v>
      </c>
      <c r="I34" s="8">
        <f t="shared" si="11"/>
        <v>46227</v>
      </c>
      <c r="J34" s="9"/>
    </row>
    <row r="35" spans="1:10" ht="20" customHeight="1" x14ac:dyDescent="0.2">
      <c r="A35" s="2" t="s">
        <v>14</v>
      </c>
      <c r="B35" s="3">
        <v>10</v>
      </c>
      <c r="C35" s="4">
        <v>6.04</v>
      </c>
      <c r="D35" s="5">
        <v>46248</v>
      </c>
      <c r="E35" s="4">
        <v>6.04</v>
      </c>
      <c r="F35" s="10">
        <f t="shared" si="8"/>
        <v>0</v>
      </c>
      <c r="G35" s="7" t="str">
        <f t="shared" ca="1" si="9"/>
        <v>✅ PAID OFF</v>
      </c>
      <c r="H35" s="8">
        <f t="shared" si="10"/>
        <v>46234</v>
      </c>
      <c r="I35" s="8">
        <f t="shared" si="11"/>
        <v>46241</v>
      </c>
      <c r="J35" s="11" t="s">
        <v>13</v>
      </c>
    </row>
    <row r="36" spans="1:10" ht="20" customHeight="1" x14ac:dyDescent="0.2"/>
    <row r="37" spans="1:10" x14ac:dyDescent="0.2">
      <c r="A37" s="2" t="s">
        <v>15</v>
      </c>
      <c r="B37" s="3">
        <v>1</v>
      </c>
      <c r="C37" s="4">
        <v>64.17</v>
      </c>
      <c r="D37" s="5">
        <v>46134</v>
      </c>
      <c r="E37" s="4">
        <v>577.25</v>
      </c>
      <c r="F37" s="6">
        <f t="shared" ref="F37:F45" si="12">E37-C37</f>
        <v>513.08000000000004</v>
      </c>
      <c r="G37" s="7" t="str">
        <f t="shared" ref="G37:G45" ca="1" si="13">IF(F37=0,"✅ PAID OFF",IF(TODAY()&gt;D37,"⚠️ OVERDUE","🔔 Upcoming"))</f>
        <v>🔔 Upcoming</v>
      </c>
      <c r="H37" s="8">
        <f t="shared" ref="H37:H45" si="14">D37-14</f>
        <v>46120</v>
      </c>
      <c r="I37" s="8">
        <f t="shared" ref="I37:I45" si="15">D37-7</f>
        <v>46127</v>
      </c>
      <c r="J37" s="9"/>
    </row>
    <row r="38" spans="1:10" x14ac:dyDescent="0.2">
      <c r="A38" s="2" t="s">
        <v>15</v>
      </c>
      <c r="B38" s="3">
        <v>2</v>
      </c>
      <c r="C38" s="4">
        <v>64.17</v>
      </c>
      <c r="D38" s="5">
        <v>46164</v>
      </c>
      <c r="E38" s="4">
        <v>513.08000000000004</v>
      </c>
      <c r="F38" s="6">
        <f t="shared" si="12"/>
        <v>448.91</v>
      </c>
      <c r="G38" s="7" t="str">
        <f t="shared" ca="1" si="13"/>
        <v>🔔 Upcoming</v>
      </c>
      <c r="H38" s="8">
        <f t="shared" si="14"/>
        <v>46150</v>
      </c>
      <c r="I38" s="8">
        <f t="shared" si="15"/>
        <v>46157</v>
      </c>
      <c r="J38" s="9"/>
    </row>
    <row r="39" spans="1:10" x14ac:dyDescent="0.2">
      <c r="A39" s="2" t="s">
        <v>15</v>
      </c>
      <c r="B39" s="3">
        <v>3</v>
      </c>
      <c r="C39" s="4">
        <v>64.17</v>
      </c>
      <c r="D39" s="5">
        <v>46195</v>
      </c>
      <c r="E39" s="4">
        <v>448.91</v>
      </c>
      <c r="F39" s="6">
        <f t="shared" si="12"/>
        <v>384.74</v>
      </c>
      <c r="G39" s="7" t="str">
        <f t="shared" ca="1" si="13"/>
        <v>🔔 Upcoming</v>
      </c>
      <c r="H39" s="8">
        <f t="shared" si="14"/>
        <v>46181</v>
      </c>
      <c r="I39" s="8">
        <f t="shared" si="15"/>
        <v>46188</v>
      </c>
      <c r="J39" s="9"/>
    </row>
    <row r="40" spans="1:10" x14ac:dyDescent="0.2">
      <c r="A40" s="2" t="s">
        <v>15</v>
      </c>
      <c r="B40" s="3">
        <v>4</v>
      </c>
      <c r="C40" s="4">
        <v>64.17</v>
      </c>
      <c r="D40" s="5">
        <v>46225</v>
      </c>
      <c r="E40" s="4">
        <v>384.74</v>
      </c>
      <c r="F40" s="6">
        <f t="shared" si="12"/>
        <v>320.57</v>
      </c>
      <c r="G40" s="7" t="str">
        <f t="shared" ca="1" si="13"/>
        <v>🔔 Upcoming</v>
      </c>
      <c r="H40" s="8">
        <f t="shared" si="14"/>
        <v>46211</v>
      </c>
      <c r="I40" s="8">
        <f t="shared" si="15"/>
        <v>46218</v>
      </c>
      <c r="J40" s="9"/>
    </row>
    <row r="41" spans="1:10" x14ac:dyDescent="0.2">
      <c r="A41" s="2" t="s">
        <v>15</v>
      </c>
      <c r="B41" s="3">
        <v>5</v>
      </c>
      <c r="C41" s="4">
        <v>64.17</v>
      </c>
      <c r="D41" s="5">
        <v>46256</v>
      </c>
      <c r="E41" s="4">
        <v>320.57</v>
      </c>
      <c r="F41" s="6">
        <f t="shared" si="12"/>
        <v>256.39999999999998</v>
      </c>
      <c r="G41" s="7" t="str">
        <f t="shared" ca="1" si="13"/>
        <v>🔔 Upcoming</v>
      </c>
      <c r="H41" s="8">
        <f t="shared" si="14"/>
        <v>46242</v>
      </c>
      <c r="I41" s="8">
        <f t="shared" si="15"/>
        <v>46249</v>
      </c>
      <c r="J41" s="9"/>
    </row>
    <row r="42" spans="1:10" x14ac:dyDescent="0.2">
      <c r="A42" s="2" t="s">
        <v>15</v>
      </c>
      <c r="B42" s="3">
        <v>6</v>
      </c>
      <c r="C42" s="4">
        <v>64.17</v>
      </c>
      <c r="D42" s="5">
        <v>46287</v>
      </c>
      <c r="E42" s="4">
        <v>256.39999999999998</v>
      </c>
      <c r="F42" s="6">
        <f t="shared" si="12"/>
        <v>192.22999999999996</v>
      </c>
      <c r="G42" s="7" t="str">
        <f t="shared" ca="1" si="13"/>
        <v>🔔 Upcoming</v>
      </c>
      <c r="H42" s="8">
        <f t="shared" si="14"/>
        <v>46273</v>
      </c>
      <c r="I42" s="8">
        <f t="shared" si="15"/>
        <v>46280</v>
      </c>
      <c r="J42" s="9"/>
    </row>
    <row r="43" spans="1:10" x14ac:dyDescent="0.2">
      <c r="A43" s="2" t="s">
        <v>15</v>
      </c>
      <c r="B43" s="3">
        <v>7</v>
      </c>
      <c r="C43" s="4">
        <v>64.17</v>
      </c>
      <c r="D43" s="5">
        <v>46317</v>
      </c>
      <c r="E43" s="4">
        <v>192.23</v>
      </c>
      <c r="F43" s="6">
        <f t="shared" si="12"/>
        <v>128.06</v>
      </c>
      <c r="G43" s="7" t="str">
        <f t="shared" ca="1" si="13"/>
        <v>🔔 Upcoming</v>
      </c>
      <c r="H43" s="8">
        <f t="shared" si="14"/>
        <v>46303</v>
      </c>
      <c r="I43" s="8">
        <f t="shared" si="15"/>
        <v>46310</v>
      </c>
      <c r="J43" s="9"/>
    </row>
    <row r="44" spans="1:10" x14ac:dyDescent="0.2">
      <c r="A44" s="2" t="s">
        <v>15</v>
      </c>
      <c r="B44" s="3">
        <v>8</v>
      </c>
      <c r="C44" s="4">
        <v>64.17</v>
      </c>
      <c r="D44" s="5">
        <v>46348</v>
      </c>
      <c r="E44" s="4">
        <v>128.06</v>
      </c>
      <c r="F44" s="6">
        <f t="shared" si="12"/>
        <v>63.89</v>
      </c>
      <c r="G44" s="7" t="str">
        <f t="shared" ca="1" si="13"/>
        <v>🔔 Upcoming</v>
      </c>
      <c r="H44" s="8">
        <f t="shared" si="14"/>
        <v>46334</v>
      </c>
      <c r="I44" s="8">
        <f t="shared" si="15"/>
        <v>46341</v>
      </c>
      <c r="J44" s="9"/>
    </row>
    <row r="45" spans="1:10" x14ac:dyDescent="0.2">
      <c r="A45" s="2" t="s">
        <v>15</v>
      </c>
      <c r="B45" s="3">
        <v>11</v>
      </c>
      <c r="C45" s="4">
        <v>63.89</v>
      </c>
      <c r="D45" s="5">
        <v>46440</v>
      </c>
      <c r="E45" s="4">
        <v>63.89</v>
      </c>
      <c r="F45" s="10">
        <f t="shared" si="12"/>
        <v>0</v>
      </c>
      <c r="G45" s="7" t="str">
        <f t="shared" ca="1" si="13"/>
        <v>✅ PAID OFF</v>
      </c>
      <c r="H45" s="8">
        <f t="shared" si="14"/>
        <v>46426</v>
      </c>
      <c r="I45" s="8">
        <f t="shared" si="15"/>
        <v>46433</v>
      </c>
      <c r="J45" s="11" t="s">
        <v>13</v>
      </c>
    </row>
    <row r="47" spans="1:10" x14ac:dyDescent="0.2">
      <c r="A47" s="2" t="s">
        <v>16</v>
      </c>
      <c r="B47" s="3">
        <v>1</v>
      </c>
      <c r="C47" s="4">
        <v>52.88</v>
      </c>
      <c r="D47" s="5">
        <v>46142</v>
      </c>
      <c r="E47" s="4">
        <v>528.79999999999995</v>
      </c>
      <c r="F47" s="6">
        <f t="shared" ref="F47:F56" si="16">E47-C47</f>
        <v>475.91999999999996</v>
      </c>
      <c r="G47" s="7" t="str">
        <f t="shared" ref="G47:G56" ca="1" si="17">IF(F47=0,"✅ PAID OFF",IF(TODAY()&gt;D47,"⚠️ OVERDUE","🔔 Upcoming"))</f>
        <v>🔔 Upcoming</v>
      </c>
      <c r="H47" s="8">
        <f t="shared" ref="H47:H56" si="18">D47-14</f>
        <v>46128</v>
      </c>
      <c r="I47" s="8">
        <f t="shared" ref="I47:I56" si="19">D47-7</f>
        <v>46135</v>
      </c>
      <c r="J47" s="9"/>
    </row>
    <row r="48" spans="1:10" x14ac:dyDescent="0.2">
      <c r="A48" s="2" t="s">
        <v>16</v>
      </c>
      <c r="B48" s="3">
        <v>2</v>
      </c>
      <c r="C48" s="4">
        <v>52.88</v>
      </c>
      <c r="D48" s="5">
        <v>46173</v>
      </c>
      <c r="E48" s="4">
        <v>475.92</v>
      </c>
      <c r="F48" s="6">
        <f t="shared" si="16"/>
        <v>423.04</v>
      </c>
      <c r="G48" s="7" t="str">
        <f t="shared" ca="1" si="17"/>
        <v>🔔 Upcoming</v>
      </c>
      <c r="H48" s="8">
        <f t="shared" si="18"/>
        <v>46159</v>
      </c>
      <c r="I48" s="8">
        <f t="shared" si="19"/>
        <v>46166</v>
      </c>
      <c r="J48" s="9"/>
    </row>
    <row r="49" spans="1:10" x14ac:dyDescent="0.2">
      <c r="A49" s="2" t="s">
        <v>16</v>
      </c>
      <c r="B49" s="3">
        <v>3</v>
      </c>
      <c r="C49" s="4">
        <v>52.88</v>
      </c>
      <c r="D49" s="5">
        <v>46203</v>
      </c>
      <c r="E49" s="4">
        <v>423.04</v>
      </c>
      <c r="F49" s="6">
        <f t="shared" si="16"/>
        <v>370.16</v>
      </c>
      <c r="G49" s="7" t="str">
        <f t="shared" ca="1" si="17"/>
        <v>🔔 Upcoming</v>
      </c>
      <c r="H49" s="8">
        <f t="shared" si="18"/>
        <v>46189</v>
      </c>
      <c r="I49" s="8">
        <f t="shared" si="19"/>
        <v>46196</v>
      </c>
      <c r="J49" s="9"/>
    </row>
    <row r="50" spans="1:10" x14ac:dyDescent="0.2">
      <c r="A50" s="2" t="s">
        <v>16</v>
      </c>
      <c r="B50" s="3">
        <v>4</v>
      </c>
      <c r="C50" s="4">
        <v>52.88</v>
      </c>
      <c r="D50" s="5">
        <v>46234</v>
      </c>
      <c r="E50" s="4">
        <v>370.16</v>
      </c>
      <c r="F50" s="6">
        <f t="shared" si="16"/>
        <v>317.28000000000003</v>
      </c>
      <c r="G50" s="7" t="str">
        <f t="shared" ca="1" si="17"/>
        <v>🔔 Upcoming</v>
      </c>
      <c r="H50" s="8">
        <f t="shared" si="18"/>
        <v>46220</v>
      </c>
      <c r="I50" s="8">
        <f t="shared" si="19"/>
        <v>46227</v>
      </c>
      <c r="J50" s="9"/>
    </row>
    <row r="51" spans="1:10" x14ac:dyDescent="0.2">
      <c r="A51" s="2" t="s">
        <v>16</v>
      </c>
      <c r="B51" s="3">
        <v>5</v>
      </c>
      <c r="C51" s="4">
        <v>52.88</v>
      </c>
      <c r="D51" s="5">
        <v>46265</v>
      </c>
      <c r="E51" s="4">
        <v>317.27999999999997</v>
      </c>
      <c r="F51" s="6">
        <f t="shared" si="16"/>
        <v>264.39999999999998</v>
      </c>
      <c r="G51" s="7" t="str">
        <f t="shared" ca="1" si="17"/>
        <v>🔔 Upcoming</v>
      </c>
      <c r="H51" s="8">
        <f t="shared" si="18"/>
        <v>46251</v>
      </c>
      <c r="I51" s="8">
        <f t="shared" si="19"/>
        <v>46258</v>
      </c>
      <c r="J51" s="9"/>
    </row>
    <row r="52" spans="1:10" x14ac:dyDescent="0.2">
      <c r="A52" s="2" t="s">
        <v>16</v>
      </c>
      <c r="B52" s="3">
        <v>6</v>
      </c>
      <c r="C52" s="4">
        <v>52.88</v>
      </c>
      <c r="D52" s="5">
        <v>46295</v>
      </c>
      <c r="E52" s="4">
        <v>264.39999999999998</v>
      </c>
      <c r="F52" s="6">
        <f t="shared" si="16"/>
        <v>211.51999999999998</v>
      </c>
      <c r="G52" s="7" t="str">
        <f t="shared" ca="1" si="17"/>
        <v>🔔 Upcoming</v>
      </c>
      <c r="H52" s="8">
        <f t="shared" si="18"/>
        <v>46281</v>
      </c>
      <c r="I52" s="8">
        <f t="shared" si="19"/>
        <v>46288</v>
      </c>
      <c r="J52" s="9"/>
    </row>
    <row r="53" spans="1:10" x14ac:dyDescent="0.2">
      <c r="A53" s="2" t="s">
        <v>16</v>
      </c>
      <c r="B53" s="3">
        <v>7</v>
      </c>
      <c r="C53" s="4">
        <v>52.88</v>
      </c>
      <c r="D53" s="5">
        <v>46326</v>
      </c>
      <c r="E53" s="4">
        <v>211.52</v>
      </c>
      <c r="F53" s="6">
        <f t="shared" si="16"/>
        <v>158.64000000000001</v>
      </c>
      <c r="G53" s="7" t="str">
        <f t="shared" ca="1" si="17"/>
        <v>🔔 Upcoming</v>
      </c>
      <c r="H53" s="8">
        <f t="shared" si="18"/>
        <v>46312</v>
      </c>
      <c r="I53" s="8">
        <f t="shared" si="19"/>
        <v>46319</v>
      </c>
      <c r="J53" s="9"/>
    </row>
    <row r="54" spans="1:10" x14ac:dyDescent="0.2">
      <c r="A54" s="2" t="s">
        <v>16</v>
      </c>
      <c r="B54" s="3">
        <v>8</v>
      </c>
      <c r="C54" s="4">
        <v>52.88</v>
      </c>
      <c r="D54" s="5">
        <v>46356</v>
      </c>
      <c r="E54" s="4">
        <v>158.63999999999999</v>
      </c>
      <c r="F54" s="6">
        <f t="shared" si="16"/>
        <v>105.75999999999999</v>
      </c>
      <c r="G54" s="7" t="str">
        <f t="shared" ca="1" si="17"/>
        <v>🔔 Upcoming</v>
      </c>
      <c r="H54" s="8">
        <f t="shared" si="18"/>
        <v>46342</v>
      </c>
      <c r="I54" s="8">
        <f t="shared" si="19"/>
        <v>46349</v>
      </c>
      <c r="J54" s="9"/>
    </row>
    <row r="55" spans="1:10" x14ac:dyDescent="0.2">
      <c r="A55" s="2" t="s">
        <v>16</v>
      </c>
      <c r="B55" s="3">
        <v>9</v>
      </c>
      <c r="C55" s="4">
        <v>52.88</v>
      </c>
      <c r="D55" s="5">
        <v>46387</v>
      </c>
      <c r="E55" s="4">
        <v>105.76</v>
      </c>
      <c r="F55" s="6">
        <f t="shared" si="16"/>
        <v>52.88</v>
      </c>
      <c r="G55" s="7" t="str">
        <f t="shared" ca="1" si="17"/>
        <v>🔔 Upcoming</v>
      </c>
      <c r="H55" s="8">
        <f t="shared" si="18"/>
        <v>46373</v>
      </c>
      <c r="I55" s="8">
        <f t="shared" si="19"/>
        <v>46380</v>
      </c>
      <c r="J55" s="9"/>
    </row>
    <row r="56" spans="1:10" x14ac:dyDescent="0.2">
      <c r="A56" s="2" t="s">
        <v>16</v>
      </c>
      <c r="B56" s="3">
        <v>10</v>
      </c>
      <c r="C56" s="4">
        <v>52.88</v>
      </c>
      <c r="D56" s="5">
        <v>46418</v>
      </c>
      <c r="E56" s="4">
        <v>52.88</v>
      </c>
      <c r="F56" s="10">
        <f t="shared" si="16"/>
        <v>0</v>
      </c>
      <c r="G56" s="7" t="str">
        <f t="shared" ca="1" si="17"/>
        <v>✅ PAID OFF</v>
      </c>
      <c r="H56" s="8">
        <f t="shared" si="18"/>
        <v>46404</v>
      </c>
      <c r="I56" s="8">
        <f t="shared" si="19"/>
        <v>46411</v>
      </c>
      <c r="J56" s="11" t="s">
        <v>13</v>
      </c>
    </row>
    <row r="58" spans="1:10" x14ac:dyDescent="0.2">
      <c r="A58" s="2" t="s">
        <v>17</v>
      </c>
      <c r="B58" s="3">
        <v>1</v>
      </c>
      <c r="C58" s="4">
        <v>29.2</v>
      </c>
      <c r="D58" s="5">
        <v>46129</v>
      </c>
      <c r="E58" s="4">
        <v>233.54</v>
      </c>
      <c r="F58" s="6">
        <f t="shared" ref="F58:F65" si="20">E58-C58</f>
        <v>204.34</v>
      </c>
      <c r="G58" s="7" t="str">
        <f t="shared" ref="G58:G65" ca="1" si="21">IF(F58=0,"✅ PAID OFF",IF(TODAY()&gt;D58,"⚠️ OVERDUE","🔔 Upcoming"))</f>
        <v>🔔 Upcoming</v>
      </c>
      <c r="H58" s="8">
        <f t="shared" ref="H58:H65" si="22">D58-14</f>
        <v>46115</v>
      </c>
      <c r="I58" s="8">
        <f t="shared" ref="I58:I65" si="23">D58-7</f>
        <v>46122</v>
      </c>
      <c r="J58" s="9"/>
    </row>
    <row r="59" spans="1:10" x14ac:dyDescent="0.2">
      <c r="A59" s="2" t="s">
        <v>17</v>
      </c>
      <c r="B59" s="3">
        <v>2</v>
      </c>
      <c r="C59" s="4">
        <v>29.2</v>
      </c>
      <c r="D59" s="5">
        <v>46157</v>
      </c>
      <c r="E59" s="4">
        <v>204.34</v>
      </c>
      <c r="F59" s="6">
        <f t="shared" si="20"/>
        <v>175.14000000000001</v>
      </c>
      <c r="G59" s="7" t="str">
        <f t="shared" ca="1" si="21"/>
        <v>🔔 Upcoming</v>
      </c>
      <c r="H59" s="8">
        <f t="shared" si="22"/>
        <v>46143</v>
      </c>
      <c r="I59" s="8">
        <f t="shared" si="23"/>
        <v>46150</v>
      </c>
      <c r="J59" s="9"/>
    </row>
    <row r="60" spans="1:10" x14ac:dyDescent="0.2">
      <c r="A60" s="2" t="s">
        <v>17</v>
      </c>
      <c r="B60" s="3">
        <v>3</v>
      </c>
      <c r="C60" s="4">
        <v>29.2</v>
      </c>
      <c r="D60" s="5">
        <v>46185</v>
      </c>
      <c r="E60" s="4">
        <v>175.14</v>
      </c>
      <c r="F60" s="6">
        <f t="shared" si="20"/>
        <v>145.94</v>
      </c>
      <c r="G60" s="7" t="str">
        <f t="shared" ca="1" si="21"/>
        <v>🔔 Upcoming</v>
      </c>
      <c r="H60" s="8">
        <f t="shared" si="22"/>
        <v>46171</v>
      </c>
      <c r="I60" s="8">
        <f t="shared" si="23"/>
        <v>46178</v>
      </c>
      <c r="J60" s="9"/>
    </row>
    <row r="61" spans="1:10" x14ac:dyDescent="0.2">
      <c r="A61" s="2" t="s">
        <v>17</v>
      </c>
      <c r="B61" s="3">
        <v>4</v>
      </c>
      <c r="C61" s="4">
        <v>29.2</v>
      </c>
      <c r="D61" s="5">
        <v>46213</v>
      </c>
      <c r="E61" s="4">
        <v>145.94</v>
      </c>
      <c r="F61" s="6">
        <f t="shared" si="20"/>
        <v>116.74</v>
      </c>
      <c r="G61" s="7" t="str">
        <f t="shared" ca="1" si="21"/>
        <v>🔔 Upcoming</v>
      </c>
      <c r="H61" s="8">
        <f t="shared" si="22"/>
        <v>46199</v>
      </c>
      <c r="I61" s="8">
        <f t="shared" si="23"/>
        <v>46206</v>
      </c>
      <c r="J61" s="9"/>
    </row>
    <row r="62" spans="1:10" x14ac:dyDescent="0.2">
      <c r="A62" s="2" t="s">
        <v>17</v>
      </c>
      <c r="B62" s="3">
        <v>5</v>
      </c>
      <c r="C62" s="4">
        <v>29.2</v>
      </c>
      <c r="D62" s="5">
        <v>46241</v>
      </c>
      <c r="E62" s="4">
        <v>116.74</v>
      </c>
      <c r="F62" s="6">
        <f t="shared" si="20"/>
        <v>87.539999999999992</v>
      </c>
      <c r="G62" s="7" t="str">
        <f t="shared" ca="1" si="21"/>
        <v>🔔 Upcoming</v>
      </c>
      <c r="H62" s="8">
        <f t="shared" si="22"/>
        <v>46227</v>
      </c>
      <c r="I62" s="8">
        <f t="shared" si="23"/>
        <v>46234</v>
      </c>
      <c r="J62" s="9"/>
    </row>
    <row r="63" spans="1:10" x14ac:dyDescent="0.2">
      <c r="A63" s="2" t="s">
        <v>17</v>
      </c>
      <c r="B63" s="3">
        <v>6</v>
      </c>
      <c r="C63" s="4">
        <v>29.2</v>
      </c>
      <c r="D63" s="5">
        <v>46269</v>
      </c>
      <c r="E63" s="4">
        <v>87.54</v>
      </c>
      <c r="F63" s="6">
        <f t="shared" si="20"/>
        <v>58.34</v>
      </c>
      <c r="G63" s="7" t="str">
        <f t="shared" ca="1" si="21"/>
        <v>🔔 Upcoming</v>
      </c>
      <c r="H63" s="8">
        <f t="shared" si="22"/>
        <v>46255</v>
      </c>
      <c r="I63" s="8">
        <f t="shared" si="23"/>
        <v>46262</v>
      </c>
      <c r="J63" s="9"/>
    </row>
    <row r="64" spans="1:10" x14ac:dyDescent="0.2">
      <c r="A64" s="2" t="s">
        <v>17</v>
      </c>
      <c r="B64" s="3">
        <v>7</v>
      </c>
      <c r="C64" s="4">
        <v>29.2</v>
      </c>
      <c r="D64" s="5">
        <v>46297</v>
      </c>
      <c r="E64" s="4">
        <v>58.34</v>
      </c>
      <c r="F64" s="6">
        <f t="shared" si="20"/>
        <v>29.140000000000004</v>
      </c>
      <c r="G64" s="7" t="str">
        <f t="shared" ca="1" si="21"/>
        <v>🔔 Upcoming</v>
      </c>
      <c r="H64" s="8">
        <f t="shared" si="22"/>
        <v>46283</v>
      </c>
      <c r="I64" s="8">
        <f t="shared" si="23"/>
        <v>46290</v>
      </c>
      <c r="J64" s="9"/>
    </row>
    <row r="65" spans="1:10" x14ac:dyDescent="0.2">
      <c r="A65" s="2" t="s">
        <v>17</v>
      </c>
      <c r="B65" s="3">
        <v>8</v>
      </c>
      <c r="C65" s="4">
        <v>29.14</v>
      </c>
      <c r="D65" s="5">
        <v>46325</v>
      </c>
      <c r="E65" s="4">
        <v>29.14</v>
      </c>
      <c r="F65" s="10">
        <f t="shared" si="20"/>
        <v>0</v>
      </c>
      <c r="G65" s="7" t="str">
        <f t="shared" ca="1" si="21"/>
        <v>✅ PAID OFF</v>
      </c>
      <c r="H65" s="8">
        <f t="shared" si="22"/>
        <v>46311</v>
      </c>
      <c r="I65" s="8">
        <f t="shared" si="23"/>
        <v>46318</v>
      </c>
      <c r="J65" s="11" t="s">
        <v>13</v>
      </c>
    </row>
    <row r="67" spans="1:10" x14ac:dyDescent="0.2">
      <c r="A67" s="2" t="s">
        <v>42</v>
      </c>
      <c r="B67" s="3">
        <v>1</v>
      </c>
      <c r="C67" s="4">
        <v>74.91</v>
      </c>
      <c r="D67" s="5">
        <v>46140</v>
      </c>
      <c r="E67" s="4">
        <v>749.1</v>
      </c>
      <c r="F67" s="6">
        <f t="shared" ref="F67:F76" si="24">E67-C67</f>
        <v>674.19</v>
      </c>
      <c r="G67" s="7" t="str">
        <f t="shared" ref="G67:G76" ca="1" si="25">IF(F67=0,"✅ PAID OFF",IF(TODAY()&gt;D67,"⚠️ OVERDUE","🔔 Upcoming"))</f>
        <v>🔔 Upcoming</v>
      </c>
      <c r="H67" s="8">
        <f t="shared" ref="H67:H76" si="26">D67-14</f>
        <v>46126</v>
      </c>
      <c r="I67" s="8">
        <f t="shared" ref="I67:I76" si="27">D67-7</f>
        <v>46133</v>
      </c>
      <c r="J67" s="9"/>
    </row>
    <row r="68" spans="1:10" x14ac:dyDescent="0.2">
      <c r="A68" s="2" t="s">
        <v>42</v>
      </c>
      <c r="B68" s="3">
        <v>2</v>
      </c>
      <c r="C68" s="4">
        <v>74.91</v>
      </c>
      <c r="D68" s="5">
        <v>46170</v>
      </c>
      <c r="E68" s="4">
        <v>674.19</v>
      </c>
      <c r="F68" s="6">
        <f t="shared" si="24"/>
        <v>599.28000000000009</v>
      </c>
      <c r="G68" s="7" t="str">
        <f t="shared" ca="1" si="25"/>
        <v>🔔 Upcoming</v>
      </c>
      <c r="H68" s="8">
        <f t="shared" si="26"/>
        <v>46156</v>
      </c>
      <c r="I68" s="8">
        <f t="shared" si="27"/>
        <v>46163</v>
      </c>
      <c r="J68" s="9"/>
    </row>
    <row r="69" spans="1:10" x14ac:dyDescent="0.2">
      <c r="A69" s="2" t="s">
        <v>42</v>
      </c>
      <c r="B69" s="3">
        <v>3</v>
      </c>
      <c r="C69" s="4">
        <v>74.91</v>
      </c>
      <c r="D69" s="5">
        <v>46201</v>
      </c>
      <c r="E69" s="4">
        <v>599.28</v>
      </c>
      <c r="F69" s="6">
        <f t="shared" si="24"/>
        <v>524.37</v>
      </c>
      <c r="G69" s="7" t="str">
        <f t="shared" ca="1" si="25"/>
        <v>🔔 Upcoming</v>
      </c>
      <c r="H69" s="8">
        <f t="shared" si="26"/>
        <v>46187</v>
      </c>
      <c r="I69" s="8">
        <f t="shared" si="27"/>
        <v>46194</v>
      </c>
      <c r="J69" s="9"/>
    </row>
    <row r="70" spans="1:10" x14ac:dyDescent="0.2">
      <c r="A70" s="2" t="s">
        <v>42</v>
      </c>
      <c r="B70" s="3">
        <v>4</v>
      </c>
      <c r="C70" s="4">
        <v>74.91</v>
      </c>
      <c r="D70" s="5">
        <v>46231</v>
      </c>
      <c r="E70" s="4">
        <v>524.37</v>
      </c>
      <c r="F70" s="6">
        <f t="shared" si="24"/>
        <v>449.46000000000004</v>
      </c>
      <c r="G70" s="7" t="str">
        <f t="shared" ca="1" si="25"/>
        <v>🔔 Upcoming</v>
      </c>
      <c r="H70" s="8">
        <f t="shared" si="26"/>
        <v>46217</v>
      </c>
      <c r="I70" s="8">
        <f t="shared" si="27"/>
        <v>46224</v>
      </c>
      <c r="J70" s="9"/>
    </row>
    <row r="71" spans="1:10" x14ac:dyDescent="0.2">
      <c r="A71" s="2" t="s">
        <v>42</v>
      </c>
      <c r="B71" s="3">
        <v>5</v>
      </c>
      <c r="C71" s="4">
        <v>74.91</v>
      </c>
      <c r="D71" s="5">
        <v>46262</v>
      </c>
      <c r="E71" s="4">
        <v>449.46</v>
      </c>
      <c r="F71" s="6">
        <f t="shared" si="24"/>
        <v>374.54999999999995</v>
      </c>
      <c r="G71" s="7" t="str">
        <f t="shared" ca="1" si="25"/>
        <v>🔔 Upcoming</v>
      </c>
      <c r="H71" s="8">
        <f t="shared" si="26"/>
        <v>46248</v>
      </c>
      <c r="I71" s="8">
        <f t="shared" si="27"/>
        <v>46255</v>
      </c>
      <c r="J71" s="9"/>
    </row>
    <row r="72" spans="1:10" x14ac:dyDescent="0.2">
      <c r="A72" s="2" t="s">
        <v>42</v>
      </c>
      <c r="B72" s="3">
        <v>6</v>
      </c>
      <c r="C72" s="4">
        <v>74.91</v>
      </c>
      <c r="D72" s="5">
        <v>46293</v>
      </c>
      <c r="E72" s="4">
        <v>374.55</v>
      </c>
      <c r="F72" s="6">
        <f t="shared" si="24"/>
        <v>299.64</v>
      </c>
      <c r="G72" s="7" t="str">
        <f t="shared" ca="1" si="25"/>
        <v>🔔 Upcoming</v>
      </c>
      <c r="H72" s="8">
        <f t="shared" si="26"/>
        <v>46279</v>
      </c>
      <c r="I72" s="8">
        <f t="shared" si="27"/>
        <v>46286</v>
      </c>
      <c r="J72" s="9"/>
    </row>
    <row r="73" spans="1:10" x14ac:dyDescent="0.2">
      <c r="A73" s="2" t="s">
        <v>42</v>
      </c>
      <c r="B73" s="3">
        <v>7</v>
      </c>
      <c r="C73" s="4">
        <v>74.91</v>
      </c>
      <c r="D73" s="5">
        <v>46323</v>
      </c>
      <c r="E73" s="4">
        <v>299.64</v>
      </c>
      <c r="F73" s="6">
        <f t="shared" ref="F73:F74" si="28">E73-C73</f>
        <v>224.73</v>
      </c>
      <c r="G73" s="7" t="str">
        <f t="shared" ref="G73:G74" ca="1" si="29">IF(F73=0,"✅ PAID OFF",IF(TODAY()&gt;D73,"⚠️ OVERDUE","🔔 Upcoming"))</f>
        <v>🔔 Upcoming</v>
      </c>
      <c r="H73" s="8">
        <f t="shared" ref="H73:H74" si="30">D73-14</f>
        <v>46309</v>
      </c>
      <c r="I73" s="8">
        <f t="shared" ref="I73:I74" si="31">D73-7</f>
        <v>46316</v>
      </c>
      <c r="J73" s="9"/>
    </row>
    <row r="74" spans="1:10" x14ac:dyDescent="0.2">
      <c r="A74" s="2" t="s">
        <v>42</v>
      </c>
      <c r="B74" s="3">
        <v>8</v>
      </c>
      <c r="C74" s="4">
        <v>74.91</v>
      </c>
      <c r="D74" s="5">
        <v>46354</v>
      </c>
      <c r="E74" s="4">
        <v>224.73</v>
      </c>
      <c r="F74" s="6">
        <f t="shared" si="28"/>
        <v>149.82</v>
      </c>
      <c r="G74" s="7" t="str">
        <f t="shared" ca="1" si="29"/>
        <v>🔔 Upcoming</v>
      </c>
      <c r="H74" s="8">
        <f t="shared" si="30"/>
        <v>46340</v>
      </c>
      <c r="I74" s="8">
        <f t="shared" si="31"/>
        <v>46347</v>
      </c>
      <c r="J74" s="9"/>
    </row>
    <row r="75" spans="1:10" x14ac:dyDescent="0.2">
      <c r="A75" s="2" t="s">
        <v>42</v>
      </c>
      <c r="B75" s="3">
        <v>9</v>
      </c>
      <c r="C75" s="4">
        <v>74.91</v>
      </c>
      <c r="D75" s="5">
        <v>46384</v>
      </c>
      <c r="E75" s="4">
        <v>149.82</v>
      </c>
      <c r="F75" s="6">
        <f t="shared" si="24"/>
        <v>74.91</v>
      </c>
      <c r="G75" s="7" t="str">
        <f t="shared" ca="1" si="25"/>
        <v>🔔 Upcoming</v>
      </c>
      <c r="H75" s="8">
        <f t="shared" si="26"/>
        <v>46370</v>
      </c>
      <c r="I75" s="8">
        <f t="shared" si="27"/>
        <v>46377</v>
      </c>
      <c r="J75" s="9"/>
    </row>
    <row r="76" spans="1:10" x14ac:dyDescent="0.2">
      <c r="A76" s="2" t="s">
        <v>42</v>
      </c>
      <c r="B76" s="3">
        <v>10</v>
      </c>
      <c r="C76" s="4">
        <v>74.91</v>
      </c>
      <c r="D76" s="5">
        <v>46415</v>
      </c>
      <c r="E76" s="4">
        <v>74.91</v>
      </c>
      <c r="F76" s="10">
        <f t="shared" si="24"/>
        <v>0</v>
      </c>
      <c r="G76" s="7" t="str">
        <f t="shared" ca="1" si="25"/>
        <v>✅ PAID OFF</v>
      </c>
      <c r="H76" s="8">
        <f t="shared" si="26"/>
        <v>46401</v>
      </c>
      <c r="I76" s="8">
        <f t="shared" si="27"/>
        <v>46408</v>
      </c>
      <c r="J76" s="11" t="s">
        <v>13</v>
      </c>
    </row>
    <row r="79" spans="1:10" x14ac:dyDescent="0.2">
      <c r="E79" s="21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20" customHeight="1" x14ac:dyDescent="0.2">
      <c r="A1" s="12" t="s">
        <v>18</v>
      </c>
    </row>
    <row r="2" spans="1:1" ht="8" customHeight="1" x14ac:dyDescent="0.2">
      <c r="A2" s="13"/>
    </row>
    <row r="3" spans="1:1" ht="20" customHeight="1" x14ac:dyDescent="0.2">
      <c r="A3" s="14" t="s">
        <v>19</v>
      </c>
    </row>
    <row r="4" spans="1:1" ht="20" customHeight="1" x14ac:dyDescent="0.2">
      <c r="A4" s="15" t="s">
        <v>20</v>
      </c>
    </row>
    <row r="5" spans="1:1" ht="20" customHeight="1" x14ac:dyDescent="0.2">
      <c r="A5" s="15" t="s">
        <v>21</v>
      </c>
    </row>
    <row r="6" spans="1:1" ht="20" customHeight="1" x14ac:dyDescent="0.2">
      <c r="A6" s="15" t="s">
        <v>22</v>
      </c>
    </row>
    <row r="7" spans="1:1" ht="20" customHeight="1" x14ac:dyDescent="0.2">
      <c r="A7" s="15" t="s">
        <v>23</v>
      </c>
    </row>
    <row r="8" spans="1:1" ht="20" customHeight="1" x14ac:dyDescent="0.2">
      <c r="A8" s="15" t="s">
        <v>24</v>
      </c>
    </row>
    <row r="9" spans="1:1" ht="20" customHeight="1" x14ac:dyDescent="0.2">
      <c r="A9" s="15" t="s">
        <v>25</v>
      </c>
    </row>
    <row r="10" spans="1:1" ht="20" customHeight="1" x14ac:dyDescent="0.2">
      <c r="A10" s="15" t="s">
        <v>26</v>
      </c>
    </row>
    <row r="11" spans="1:1" ht="8" customHeight="1" x14ac:dyDescent="0.2">
      <c r="A11" s="16"/>
    </row>
    <row r="12" spans="1:1" ht="20" customHeight="1" x14ac:dyDescent="0.2">
      <c r="A12" s="17" t="s">
        <v>27</v>
      </c>
    </row>
    <row r="13" spans="1:1" ht="20" customHeight="1" x14ac:dyDescent="0.2">
      <c r="A13" s="18" t="s">
        <v>28</v>
      </c>
    </row>
    <row r="14" spans="1:1" ht="20" customHeight="1" x14ac:dyDescent="0.2">
      <c r="A14" s="18" t="s">
        <v>29</v>
      </c>
    </row>
    <row r="15" spans="1:1" ht="20" customHeight="1" x14ac:dyDescent="0.2">
      <c r="A15" s="18" t="s">
        <v>30</v>
      </c>
    </row>
    <row r="16" spans="1:1" ht="20" customHeight="1" x14ac:dyDescent="0.2">
      <c r="A16" s="18" t="s">
        <v>31</v>
      </c>
    </row>
    <row r="17" spans="1:1" ht="8" customHeight="1" x14ac:dyDescent="0.2">
      <c r="A17" s="16"/>
    </row>
    <row r="18" spans="1:1" ht="20" customHeight="1" x14ac:dyDescent="0.2">
      <c r="A18" s="14" t="s">
        <v>32</v>
      </c>
    </row>
    <row r="19" spans="1:1" ht="20" customHeight="1" x14ac:dyDescent="0.2">
      <c r="A19" s="15" t="s">
        <v>33</v>
      </c>
    </row>
    <row r="20" spans="1:1" ht="20" customHeight="1" x14ac:dyDescent="0.2">
      <c r="A20" s="15" t="s">
        <v>34</v>
      </c>
    </row>
    <row r="21" spans="1:1" ht="20" customHeight="1" x14ac:dyDescent="0.2">
      <c r="A21" s="15" t="s">
        <v>35</v>
      </c>
    </row>
    <row r="22" spans="1:1" ht="8" customHeight="1" x14ac:dyDescent="0.2">
      <c r="A22" s="16"/>
    </row>
    <row r="23" spans="1:1" ht="20" customHeight="1" x14ac:dyDescent="0.2">
      <c r="A23" s="14" t="s">
        <v>36</v>
      </c>
    </row>
    <row r="24" spans="1:1" ht="20" customHeight="1" x14ac:dyDescent="0.2">
      <c r="A24" s="15" t="s">
        <v>37</v>
      </c>
    </row>
    <row r="25" spans="1:1" ht="8" customHeight="1" x14ac:dyDescent="0.2">
      <c r="A25" s="16"/>
    </row>
    <row r="26" spans="1:1" ht="20" customHeight="1" x14ac:dyDescent="0.2">
      <c r="A26" s="14" t="s">
        <v>38</v>
      </c>
    </row>
    <row r="27" spans="1:1" ht="20" customHeight="1" x14ac:dyDescent="0.2">
      <c r="A27" s="19" t="s">
        <v>39</v>
      </c>
    </row>
    <row r="28" spans="1:1" ht="20" customHeight="1" x14ac:dyDescent="0.2">
      <c r="A28" s="18" t="s">
        <v>40</v>
      </c>
    </row>
    <row r="29" spans="1:1" ht="20" customHeight="1" x14ac:dyDescent="0.2">
      <c r="A29" s="2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Settlements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Renilson Rodrigues Junior</cp:lastModifiedBy>
  <cp:revision/>
  <dcterms:created xsi:type="dcterms:W3CDTF">2026-03-29T02:12:16Z</dcterms:created>
  <dcterms:modified xsi:type="dcterms:W3CDTF">2026-03-30T15:24:02Z</dcterms:modified>
  <cp:category/>
  <cp:contentStatus/>
</cp:coreProperties>
</file>